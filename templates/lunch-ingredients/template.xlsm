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เวิร์กบุ๊กนี้"/>
  <mc:AlternateContent xmlns:mc="http://schemas.openxmlformats.org/markup-compatibility/2006">
    <mc:Choice Requires="x15">
      <x15ac:absPath xmlns:x15ac="http://schemas.microsoft.com/office/spreadsheetml/2010/11/ac" url="D:\โรงเรียนบ้านยอกขาม\โปรแกรมจัดซื้อจัดจ้าง\"/>
    </mc:Choice>
  </mc:AlternateContent>
  <xr:revisionPtr revIDLastSave="0" documentId="13_ncr:1_{0EE51BC2-053D-413E-933B-A7A3BF9B9DF6}" xr6:coauthVersionLast="47" xr6:coauthVersionMax="47" xr10:uidLastSave="{00000000-0000-0000-0000-000000000000}"/>
  <bookViews>
    <workbookView xWindow="-120" yWindow="-120" windowWidth="29040" windowHeight="15840" tabRatio="800" activeTab="11" xr2:uid="{00000000-000D-0000-FFFF-FFFF00000000}"/>
  </bookViews>
  <sheets>
    <sheet name="Data" sheetId="1" r:id="rId1"/>
    <sheet name="Worklist" sheetId="2" r:id="rId2"/>
    <sheet name="Contractor" sheetId="16" r:id="rId3"/>
    <sheet name="Setting" sheetId="3" r:id="rId4"/>
    <sheet name="Page1" sheetId="5" r:id="rId5"/>
    <sheet name="Page2" sheetId="17" r:id="rId6"/>
    <sheet name="Page3" sheetId="7" r:id="rId7"/>
    <sheet name="Page4" sheetId="9" r:id="rId8"/>
    <sheet name="Page5" sheetId="8" r:id="rId9"/>
    <sheet name="Page6" sheetId="10" r:id="rId10"/>
    <sheet name="Page7" sheetId="13" r:id="rId11"/>
    <sheet name="Page8" sheetId="14" r:id="rId12"/>
  </sheets>
  <externalReferences>
    <externalReference r:id="rId13"/>
  </externalReferences>
  <definedNames>
    <definedName name="_xlnm.Print_Area" localSheetId="4">Page1!$A$1:$L$36</definedName>
    <definedName name="_xlnm.Print_Area" localSheetId="5">Page2!$A$1:$H$31</definedName>
    <definedName name="_xlnm.Print_Area" localSheetId="7">Page4!$A$1:$I$37</definedName>
    <definedName name="_xlnm.Print_Area" localSheetId="8">Page5!$A$1:$L$39</definedName>
    <definedName name="_xlnm.Print_Area" localSheetId="9">Page6!$A$1:$I$38</definedName>
    <definedName name="_xlnm.Print_Area" localSheetId="10">Page7!$A$1:$K$39</definedName>
    <definedName name="_xlnm.Print_Area" localSheetId="11">Page8!$A$1:$L$37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8" l="1"/>
  <c r="E32" i="7" l="1"/>
  <c r="H35" i="5"/>
  <c r="G11" i="17" l="1"/>
  <c r="H11" i="17"/>
  <c r="H8" i="17"/>
  <c r="G8" i="17"/>
  <c r="G9" i="17"/>
  <c r="H9" i="17" s="1"/>
  <c r="G10" i="17"/>
  <c r="H10" i="17" s="1"/>
  <c r="G7" i="17"/>
  <c r="H7" i="17" s="1"/>
  <c r="B11" i="14" l="1"/>
  <c r="B16" i="13" l="1"/>
  <c r="B12" i="13"/>
  <c r="G31" i="8"/>
  <c r="B24" i="8"/>
  <c r="C7" i="8"/>
  <c r="B17" i="9"/>
  <c r="E30" i="17"/>
  <c r="C30" i="17"/>
  <c r="B1" i="17"/>
  <c r="G6" i="17"/>
  <c r="H6" i="17" s="1"/>
  <c r="K2" i="17"/>
  <c r="B2" i="17"/>
  <c r="H26" i="17" l="1"/>
  <c r="B26" i="17" s="1"/>
  <c r="C19" i="5" l="1"/>
  <c r="B48" i="3" l="1"/>
  <c r="B47" i="3"/>
  <c r="B46" i="3"/>
  <c r="B45" i="3"/>
  <c r="B44" i="3"/>
  <c r="B43" i="3"/>
  <c r="B42" i="3"/>
  <c r="B41" i="3"/>
  <c r="B40" i="3"/>
  <c r="A5" i="9" l="1"/>
  <c r="B10" i="8"/>
  <c r="C15" i="8"/>
  <c r="F35" i="14"/>
  <c r="F34" i="14"/>
  <c r="F36" i="14"/>
  <c r="C28" i="14"/>
  <c r="C27" i="14"/>
  <c r="C24" i="14"/>
  <c r="F21" i="14"/>
  <c r="F19" i="14"/>
  <c r="B17" i="14"/>
  <c r="H4" i="14"/>
  <c r="C4" i="14"/>
  <c r="C7" i="14"/>
  <c r="H3" i="14"/>
  <c r="D3" i="14"/>
  <c r="F23" i="14"/>
  <c r="F22" i="14"/>
  <c r="F20" i="14"/>
  <c r="B15" i="14"/>
  <c r="G30" i="13"/>
  <c r="G26" i="13"/>
  <c r="G31" i="13"/>
  <c r="G27" i="13"/>
  <c r="G23" i="13"/>
  <c r="G22" i="13"/>
  <c r="H5" i="13"/>
  <c r="G4" i="13"/>
  <c r="B11" i="13"/>
  <c r="F37" i="10"/>
  <c r="A38" i="10"/>
  <c r="A37" i="10"/>
  <c r="A16" i="10"/>
  <c r="B28" i="10"/>
  <c r="E27" i="10"/>
  <c r="D26" i="10"/>
  <c r="H21" i="10"/>
  <c r="G21" i="10"/>
  <c r="F21" i="10"/>
  <c r="I21" i="10" s="1"/>
  <c r="H22" i="10" s="1"/>
  <c r="G2" i="9"/>
  <c r="G3" i="9"/>
  <c r="E14" i="10"/>
  <c r="B13" i="10"/>
  <c r="B14" i="10"/>
  <c r="C12" i="10"/>
  <c r="C11" i="10"/>
  <c r="F11" i="10"/>
  <c r="F10" i="10"/>
  <c r="B10" i="10"/>
  <c r="G8" i="10"/>
  <c r="H7" i="10"/>
  <c r="B8" i="10"/>
  <c r="B7" i="10"/>
  <c r="A21" i="10"/>
  <c r="F22" i="9"/>
  <c r="B22" i="9"/>
  <c r="B19" i="9"/>
  <c r="H10" i="9"/>
  <c r="I10" i="9" s="1"/>
  <c r="H13" i="9" s="1"/>
  <c r="A13" i="9" s="1"/>
  <c r="G10" i="9"/>
  <c r="F10" i="9"/>
  <c r="A4" i="9"/>
  <c r="A22" i="10" l="1"/>
  <c r="H24" i="10"/>
  <c r="F32" i="8" l="1"/>
  <c r="B21" i="8"/>
  <c r="H4" i="8" l="1"/>
  <c r="C4" i="8"/>
  <c r="H3" i="8"/>
  <c r="D3" i="8"/>
  <c r="E31" i="7"/>
  <c r="E26" i="7"/>
  <c r="F16" i="7"/>
  <c r="F17" i="7"/>
  <c r="F15" i="7"/>
  <c r="A17" i="7"/>
  <c r="A15" i="7"/>
  <c r="A16" i="7"/>
  <c r="A7" i="7"/>
  <c r="A6" i="7"/>
  <c r="H36" i="5"/>
  <c r="H34" i="5"/>
  <c r="B35" i="5"/>
  <c r="B32" i="5"/>
  <c r="H29" i="5"/>
  <c r="H28" i="5"/>
  <c r="H27" i="5"/>
  <c r="C29" i="5"/>
  <c r="C28" i="5"/>
  <c r="C27" i="5"/>
  <c r="B21" i="3"/>
  <c r="C18" i="5" s="1"/>
  <c r="C7" i="5"/>
  <c r="H4" i="5"/>
  <c r="C4" i="5"/>
  <c r="H3" i="5"/>
  <c r="D3" i="5"/>
  <c r="C17" i="5"/>
  <c r="B20" i="3"/>
  <c r="B19" i="3"/>
  <c r="C15" i="5" s="1"/>
  <c r="B18" i="3"/>
  <c r="C5" i="5" l="1"/>
  <c r="A8" i="7"/>
  <c r="B8" i="14"/>
  <c r="B7" i="13"/>
  <c r="B10" i="9"/>
  <c r="A10" i="7"/>
  <c r="C16" i="5"/>
  <c r="B8" i="5"/>
  <c r="B21" i="10"/>
  <c r="B8" i="8"/>
  <c r="A1" i="2" l="1"/>
</calcChain>
</file>

<file path=xl/sharedStrings.xml><?xml version="1.0" encoding="utf-8"?>
<sst xmlns="http://schemas.openxmlformats.org/spreadsheetml/2006/main" count="468" uniqueCount="225">
  <si>
    <t>วันที่</t>
  </si>
  <si>
    <t>เดือน</t>
  </si>
  <si>
    <t>พ.ศ.</t>
  </si>
  <si>
    <t>มกราคม</t>
  </si>
  <si>
    <t>กุมภาพันธ์</t>
  </si>
  <si>
    <t>มีนาคม</t>
  </si>
  <si>
    <t>เมษายน</t>
  </si>
  <si>
    <t>พฤษภาคม</t>
  </si>
  <si>
    <t>มิถุนายน</t>
  </si>
  <si>
    <t>กรกฎาคม</t>
  </si>
  <si>
    <t>สิงหาคม</t>
  </si>
  <si>
    <t>กันยายน</t>
  </si>
  <si>
    <t>ตุลาคม</t>
  </si>
  <si>
    <t>พฤศจิกายน</t>
  </si>
  <si>
    <t>ธันวาคม</t>
  </si>
  <si>
    <t>กลุ่มงาน</t>
  </si>
  <si>
    <t>กลุ่มงานบริหารทั่วไป</t>
  </si>
  <si>
    <t>กลุ่มงานบริหารงานบุคคล</t>
  </si>
  <si>
    <t>กลุ่มงานบริหารงานวิชาการ</t>
  </si>
  <si>
    <t>กลุ่มงานบริหารงานงบประมาณ</t>
  </si>
  <si>
    <t>ปีงบประมาณ (บันทึกข้อความ)</t>
  </si>
  <si>
    <t>ที่</t>
  </si>
  <si>
    <t>รหัสโครงการ</t>
  </si>
  <si>
    <t>รายการที่จะจ้าง</t>
  </si>
  <si>
    <t>กลุ่มงานที่จ้าง</t>
  </si>
  <si>
    <t>งบประมาณ</t>
  </si>
  <si>
    <t>เหตุผลที่จ้าง</t>
  </si>
  <si>
    <t>ข้อมูลโรงเรียน</t>
  </si>
  <si>
    <t>ชื่อโรงเรียน</t>
  </si>
  <si>
    <t>ที่อยู่</t>
  </si>
  <si>
    <t>สังกัด</t>
  </si>
  <si>
    <t>จำนวนนักเรียน</t>
  </si>
  <si>
    <t>เจ้าหน้าที่</t>
  </si>
  <si>
    <t>หัวหน้าเจ้าหน้าที่</t>
  </si>
  <si>
    <t>เจ้าหน้าที่การเงิน</t>
  </si>
  <si>
    <t>ผู้อำนวยการโรงเรียน</t>
  </si>
  <si>
    <t>172 หมู่ 5 ตำบลหนองตะไก้ อำเภอหนองบุญมาก จังหวัดนครราชสีมา 30410</t>
  </si>
  <si>
    <t>สพป.นครราชสีมา เขต 2</t>
  </si>
  <si>
    <t>นายฉัตรชัย สงทามะดัน</t>
  </si>
  <si>
    <t>นายสมเด็จ ภิญโญยาง</t>
  </si>
  <si>
    <t>นางสาวนวลพรรณ กลั่นหมอ</t>
  </si>
  <si>
    <t>ข้อมูลรายงานขอจ้าง</t>
  </si>
  <si>
    <t>เลขที่บันทึกข้อความ</t>
  </si>
  <si>
    <t>วันที่บันทึกข้อความรายงานขอซื้อ</t>
  </si>
  <si>
    <t>เลือกรหัสโครงการ</t>
  </si>
  <si>
    <t>เลือกกลุ่มงาน</t>
  </si>
  <si>
    <t>เลือกวันเดือนปี ที่จะจัดจ้าง</t>
  </si>
  <si>
    <t>แผนงาน</t>
  </si>
  <si>
    <t>บันทึกข้อความ</t>
  </si>
  <si>
    <t>ส่วนราชการ</t>
  </si>
  <si>
    <t>เรื่อง</t>
  </si>
  <si>
    <t>เรียน</t>
  </si>
  <si>
    <t xml:space="preserve">         งานพัสดุได้ตรวจสอบแล้วเห็นควรจัดซื้อตามเสนอ และเพื่อให้เป็นไปตามพระราชบัญญัติการจัดซื้อจัดจ้างและ การบริหารพัสดุภาครัฐ  พ.ศ.  ๒๕๖๐  ข้อ ๕๖ วรรคหนึ่ง (๒) (ข) และระเบียบกระทรวงการคลังว่าด้วยการจัดซื้อจัดจ้างและการบริหารพัสดุภาครัฐ  พ.ศ. ๒๕๖๐  ข้อ ๒๒  ข้อ ๗๙ ข้อ ๒๕ (๕) และกฎกระทรวงกำหนดวงเงินการจัดซื้อจัดจ้างพัสดุ โดยวิธีเฉพาะเจาะ วงเงินการจัดซื้อจัดจ้างที่ไม่ทำข้อตกลงเป็นหนังสือ  และวงเงินการจัดซื้อจัดจ้างในการแต่งตั้งผู้ตรวจรับพัสดุ  พ.ศ. ๒๕๖๐ ข้อ ๑ และข้อ ๕ จึงขอรายงานขอซื้อ ดังนี้</t>
  </si>
  <si>
    <t>7. หลักเกณฑ์การพิจารณาคัดเลือกข้อเสนอ โดยใช้เกณฑ์ราคา</t>
  </si>
  <si>
    <t>8. ข้อเสนออื่น ๆ  เห็นควรแต่งตั้งผู้ตรวจรับพัสดุ ตามเสนอ</t>
  </si>
  <si>
    <t>จึงเรียนมาเพื่อโปรดพิจารณา</t>
  </si>
  <si>
    <t xml:space="preserve">        2. อนุมัติแต่งตั้งบุคคลดังต่อไปนี้เป็นคณะกรรมการตรวจรับพัสดุ</t>
  </si>
  <si>
    <t>ประธานกรรมการ</t>
  </si>
  <si>
    <t>กรรมการ</t>
  </si>
  <si>
    <t>ลงชื่อ..................................................เจ้าหน้าที่</t>
  </si>
  <si>
    <t>- เห็นชอบ</t>
  </si>
  <si>
    <t>- อนุมัติ</t>
  </si>
  <si>
    <t xml:space="preserve">             </t>
  </si>
  <si>
    <t xml:space="preserve">ลงชื่อ                                   </t>
  </si>
  <si>
    <t>ลงชื่อ...........................................หัวหน้าเจ้าหน้าที่</t>
  </si>
  <si>
    <t>* กรุณากรอกข้อมูลให้ครบทุกช่อง *</t>
  </si>
  <si>
    <t>กรรมการตรวจรับพัสดุ</t>
  </si>
  <si>
    <t>ตำแหน่ง</t>
  </si>
  <si>
    <t>ครูผู้ช่วย</t>
  </si>
  <si>
    <t>ครู</t>
  </si>
  <si>
    <t>ครูชำนาญการ</t>
  </si>
  <si>
    <t>ครูเชี่ยวชาญ</t>
  </si>
  <si>
    <t>ครูเชี่ยวชาญพิเศษ</t>
  </si>
  <si>
    <t>ครูชำนาญการพิเศษ</t>
  </si>
  <si>
    <t>สิบตรีวีระวัฒน์ สุขทองหลาง</t>
  </si>
  <si>
    <t xml:space="preserve">        คณะกรรมการตรวจรับพัสดุ</t>
  </si>
  <si>
    <t xml:space="preserve">        อำนาจและหน้าที่</t>
  </si>
  <si>
    <t xml:space="preserve">               ให้คณะกรรมการตรวจรับพัสดุ ปฏิบัติหน้าที่ตามพระราชบัญญัติการจัดซื้อจัดจ้างและการบริหารพัสดุภาครัฐ พ.ศ. 2560 และระเบียบกระทรวงการคลังว่าด้วยหลักเกณฑ์การจัดซื้อจัดจ้างและการบริหารพัสดุภาครัฐ พ.ศ. 2560 ข้อ 175 โดยให้คณะกรรมการ ตรวจรับพัสดุรายงานผลภายใน 7 วันทําการ นับแต่วันส่งมอบพัสดุ</t>
  </si>
  <si>
    <t xml:space="preserve">        ทั้งนี้ ตั้งแต่บัดนี้เป็นต้นไป</t>
  </si>
  <si>
    <t>ลงชื่อ .........................................................................</t>
  </si>
  <si>
    <t>คำสั่งแต่งตั้งคณะกรรมการ</t>
  </si>
  <si>
    <t>เลขที่คำสั่ง</t>
  </si>
  <si>
    <t>วันที่ออกคำสั่ง</t>
  </si>
  <si>
    <t>......../2562</t>
  </si>
  <si>
    <t>ลงชื่อ.......................................................เจ้าหน้าที่</t>
  </si>
  <si>
    <t>เลือกวันเดือนปี ที่ออกคำสั่ง</t>
  </si>
  <si>
    <t>เลือกตำแหน่งของประธานกรรมการ</t>
  </si>
  <si>
    <t>เลือกตำแหน่งของกรรมการ</t>
  </si>
  <si>
    <t>รายงานการพิจารณาผล</t>
  </si>
  <si>
    <t>วันที่บันทึกข้อความ</t>
  </si>
  <si>
    <t>ข้อมูลผู้รับจ้าง</t>
  </si>
  <si>
    <t>-</t>
  </si>
  <si>
    <t>ชื่อสกุล ผู้รับจ้าง</t>
  </si>
  <si>
    <t>ราคาที่เสนอ</t>
  </si>
  <si>
    <t>หมายเลขโทรศัพท์</t>
  </si>
  <si>
    <t xml:space="preserve">เลขประจำตัวผู้เสียภาษี   </t>
  </si>
  <si>
    <t>เลขที่บัญชีธนาคาร</t>
  </si>
  <si>
    <t>ชื่อบัญชี</t>
  </si>
  <si>
    <t>ธนาคาร</t>
  </si>
  <si>
    <t>สาขา</t>
  </si>
  <si>
    <t>063-8263603</t>
  </si>
  <si>
    <t>ข้อมูลใบเสนอราคา</t>
  </si>
  <si>
    <t>วันที่เสนอราคา</t>
  </si>
  <si>
    <t>ใบเสนอราคา</t>
  </si>
  <si>
    <t>รายการ</t>
  </si>
  <si>
    <t>จำนวน</t>
  </si>
  <si>
    <t>หน่วย</t>
  </si>
  <si>
    <t>ราคา</t>
  </si>
  <si>
    <t>รวมเงิน</t>
  </si>
  <si>
    <t xml:space="preserve">                 ซึ่งเป็นราคาที่รวมภาษีมูลค่าเพิ่มรวมทั้งภาษีอากรอื่น ๆ และค่าใช้จ่ายทั้งปวงไว้ด้วยแล้ว</t>
  </si>
  <si>
    <t>2. คำเสนอนี้จะยืนอยู่เป็นระยะเวลา 7 วัน นับแต่วันที่ยื่นใบเสนอราคา</t>
  </si>
  <si>
    <t>ลงชื่อ......................................ผู้ต่อรองและตกลงราคา</t>
  </si>
  <si>
    <t>ลงชื่อ ....................................... ผู้เสนอราคา</t>
  </si>
  <si>
    <t>ผู้เสนอราคา</t>
  </si>
  <si>
    <t>เลขประจำตัวประชาชน</t>
  </si>
  <si>
    <t xml:space="preserve">ที่อยู่ </t>
  </si>
  <si>
    <t>โทรศัพท์</t>
  </si>
  <si>
    <t xml:space="preserve">เลขที่บัญชีธนาคาร    </t>
  </si>
  <si>
    <t xml:space="preserve">ชื่อบัญชี   </t>
  </si>
  <si>
    <t>ลำดับ</t>
  </si>
  <si>
    <t>ราคาต่อหน่วย</t>
  </si>
  <si>
    <t>จำนวนเงิน</t>
  </si>
  <si>
    <t>รวมเป็นเงิน</t>
  </si>
  <si>
    <t>ภาษีมูลค่าเพิ่ม</t>
  </si>
  <si>
    <t>รวมเป็นเงินทั้งสิ้น</t>
  </si>
  <si>
    <t>๑.  กำหนดส่งมอบภายใน</t>
  </si>
  <si>
    <t>วัน</t>
  </si>
  <si>
    <t xml:space="preserve">๒.  ครบกำหนดส่งมอบวันที่  </t>
  </si>
  <si>
    <t xml:space="preserve">๔.  ระยะเวลารับประกัน  </t>
  </si>
  <si>
    <t>.............  - ..............</t>
  </si>
  <si>
    <t>๕. สงวนสิทธิ์ค่าปรับกรณีส่งมอบเกินกำหนด  โดยคิดค่าปรับเป็นรายวันในอัตราร้อยละ  ๐.๒๐  ของราคาสิ่งของที่ยังไม่ได้รับมอบแต่จะต้องไม่ต่ำกว่าวันละ  ๑๐๐.๐๐  บาท</t>
  </si>
  <si>
    <t>......./2562</t>
  </si>
  <si>
    <t>5/1 หมู่ 7 ตำบลรังกาใหญ่ อำเภอพิมาย จังหวัดนครราชสีมา 30110</t>
  </si>
  <si>
    <t>เลขที่ใบเสนอราคา</t>
  </si>
  <si>
    <t>…......../2562</t>
  </si>
  <si>
    <t>วันที่ส่งมอบงาน</t>
  </si>
  <si>
    <t>กำหนดส่งมอบ (วัน)</t>
  </si>
  <si>
    <t>ข้อมูลใบส่งมอบงานจ้าง</t>
  </si>
  <si>
    <t>เลขที่ใบส่งมอบงานจ้าง</t>
  </si>
  <si>
    <t>วันที่ใบส่งมอบงานจ้าง</t>
  </si>
  <si>
    <t>ใบตรวจรับพัสดุ</t>
  </si>
  <si>
    <t>ตามระเบียบกระทรวงการคลังว่าด้วยการจัดซื้อจัดจ้างและการบริหารพัสดุภาครัฐ พ.ศ. 2560 ข้อ 175</t>
  </si>
  <si>
    <t>ลงชื่อ ........................................... ประธานกรรมการ</t>
  </si>
  <si>
    <t>ลงชื่อ ........................................... กรรมการ</t>
  </si>
  <si>
    <t>ข้อมูลตรวจรับพัสดุ</t>
  </si>
  <si>
    <t>วันที่ตรวจรับพัสดุ</t>
  </si>
  <si>
    <t>ข้อมูลใบสั่งจ้าง</t>
  </si>
  <si>
    <t>รายงานผลการตรวจรับพัสดุและอนุมัติเบิกจ่ายเงิน</t>
  </si>
  <si>
    <t>จึงเรียนมาเพื่อโปรด</t>
  </si>
  <si>
    <t>มูลค่าสินค้าหรือบริการ</t>
  </si>
  <si>
    <t>บวกภาษีมูลค่าเพิ่ม</t>
  </si>
  <si>
    <t>จำนวนเงินที่ขอเบิกทั้งสิ้น</t>
  </si>
  <si>
    <t>หัก</t>
  </si>
  <si>
    <t>ภาษีเงินได้</t>
  </si>
  <si>
    <t>ค่าปรับ</t>
  </si>
  <si>
    <t>ลงชื่อ ……….……………………….  เจ้าหน้าที่การเงิน</t>
  </si>
  <si>
    <t>- ทราบ</t>
  </si>
  <si>
    <t xml:space="preserve">ลงชื่อ                                                </t>
  </si>
  <si>
    <t>ข้อมูลอนุมัติเบิกเงิน</t>
  </si>
  <si>
    <t>วันที่ใบขอเบิกเงิน</t>
  </si>
  <si>
    <t>บาท</t>
  </si>
  <si>
    <t>* หน้าสำหรับกำหนดค่าตัวแปร *</t>
  </si>
  <si>
    <t>เลือกวันที่บันทึกข้อความรายงานพิจารณาผล</t>
  </si>
  <si>
    <t>เลือกวันที่ใบเสนอราคา</t>
  </si>
  <si>
    <t>เลือกวันที่ใบสั่งจ้าง</t>
  </si>
  <si>
    <t>เลือกวันที่ใบส่งมอบงานจ้าง</t>
  </si>
  <si>
    <t>เลือกวันที่ใบตรวจรับพัสดุ</t>
  </si>
  <si>
    <t>เลือกวันที่ใบรายงานขออนุมัติจ่ายเงินและใบสำคัญรับเงิน</t>
  </si>
  <si>
    <t>ไม่ต้องแก้ไข</t>
  </si>
  <si>
    <r>
      <rPr>
        <b/>
        <sz val="48"/>
        <color theme="0"/>
        <rFont val="TH SarabunPSK"/>
        <family val="2"/>
      </rPr>
      <t>ผู้จัดทำ</t>
    </r>
    <r>
      <rPr>
        <b/>
        <sz val="23"/>
        <color theme="0"/>
        <rFont val="TH SarabunPSK"/>
        <family val="2"/>
      </rPr>
      <t xml:space="preserve">
สิบตรีวีระวัฒน์ สุขทองหลาง
ตำแหน่ง ครูผู้ช่วย โรงเรียนบ้านยอกขาม
สังกัดสำนักงานเขตพื้นที่การศึกษาประถมศึกษานครราชสีมา เขต 2
E-Mail : weerawat.su@korat2.go.th</t>
    </r>
  </si>
  <si>
    <t>ที่อยู่ผู้รับ</t>
  </si>
  <si>
    <t>รหัสผู้รับเหมา</t>
  </si>
  <si>
    <t>ชื่อ - นามสกุล</t>
  </si>
  <si>
    <t>รายชื่อผู้รับจ้าง</t>
  </si>
  <si>
    <t>นายสมหมาย มากมี</t>
  </si>
  <si>
    <t>128 หมู่ 5 ตำบลหนองตะไก้ อำเภอหนองบุญมาก จังหวัดนครราชสีมา 30410</t>
  </si>
  <si>
    <t>089-8289653</t>
  </si>
  <si>
    <t>เลือกข้อมูลผู้รับเหมาจากตรงนี้</t>
  </si>
  <si>
    <t>เพื่อใช้ในการจัดการเรียนการสอน</t>
  </si>
  <si>
    <t>6.  ซื้อโดยวิธีเฉพาะเจาะจง เนื่องจาก การจัดซื้อพัสดุที่มีการผลิต จำหน่าย ก่อสร้าง  หรือให้บริการทั่วไป
และมีวงเงินในการจัดซื้อจัดจ้างครั้งหนึ่งไม่เกิน  ๕๐๐,๐๐๐  บาท  ที่กำหนดในกฎกระทรวง</t>
  </si>
  <si>
    <t xml:space="preserve">        1. เห็นชอบในรายงานขอซื้อดังกล่าวข้างต้น</t>
  </si>
  <si>
    <t>จำนวนทั้งหมด</t>
  </si>
  <si>
    <t>รายละเอียดของพัสดุที่จะซื้อ</t>
  </si>
  <si>
    <t xml:space="preserve"> จำนวนและวงเงินที่ขอซื้อครั้งนี้</t>
  </si>
  <si>
    <t>หน่วยละ</t>
  </si>
  <si>
    <t>ลงชื่อ...................................................เจ้าหน้าที่</t>
  </si>
  <si>
    <t>ลงชื่อ...............................................หัวหน้าเจ้าหน้าที่</t>
  </si>
  <si>
    <t>จำนวนพัสดุที่จะซื้อ</t>
  </si>
  <si>
    <t xml:space="preserve">        2. ลงนามในใบสั่งซื้อดังแนบ</t>
  </si>
  <si>
    <t>ลงชื่อ.......................................................หัวหน้าเจ้าหน้าที่</t>
  </si>
  <si>
    <t>- อนุมัติ / ลงนามแล้ว</t>
  </si>
  <si>
    <t>ลงชื่อ............................................</t>
  </si>
  <si>
    <t>รายงานผลการพิจารณาและขออนุมัติสั่งซื้อ</t>
  </si>
  <si>
    <t>ใบสั่งซื้อ</t>
  </si>
  <si>
    <t>ผู้ขาย</t>
  </si>
  <si>
    <t xml:space="preserve">ใบสั่งซื้อเลขที่  </t>
  </si>
  <si>
    <t>การสั่งซื้ออยู่ภายใต้เงื่อนไขต่อไปนี้</t>
  </si>
  <si>
    <t>นับถัดจากวันที่ลงนามในใบสั่งซื้อ</t>
  </si>
  <si>
    <t>6. โรงเรียนสงวนสิทธิ์ที่จะไม่รับมอบถ้าปรากฏว่าสินค้านั้นมีลักษณะไม่ตรงตามรายการที่ระบุไว้ในใบสั่งซื้อ กรณีนี้ผู้ขายจะต้องดำเนินการเปลี่ยนใหม่ให้ถูกต้องตามใบสั่งซื้อทุกประการ</t>
  </si>
  <si>
    <t>ลงชื่อ.......................................ผู้สั่งซื้อ</t>
  </si>
  <si>
    <t>ลงชื่อ.......................................ผู้ขาย</t>
  </si>
  <si>
    <t>ตำแหน่ง ผู้ขาย</t>
  </si>
  <si>
    <t>กลุ่มงานที่ขอซื้อ</t>
  </si>
  <si>
    <t>รายการที่จะขอซื้อ</t>
  </si>
  <si>
    <t>เหตุผลที่จะขอซื้อ</t>
  </si>
  <si>
    <t>รหัสผู้รับขาย</t>
  </si>
  <si>
    <t>ข้อมูลผู้รับจ้าง (ไม่ต้องแก้ไข)</t>
  </si>
  <si>
    <t>หน่วยของพัสดุที่จะซื้อ</t>
  </si>
  <si>
    <t>เลขที่ใบสั่งซื้อ</t>
  </si>
  <si>
    <t>วันที่ในใบสั่งซื้อ</t>
  </si>
  <si>
    <t>งานบริหารทั่วไป</t>
  </si>
  <si>
    <t>ราคาที่ได้มาจากการสืบจากท้องตลาด</t>
  </si>
  <si>
    <t>อัน</t>
  </si>
  <si>
    <t>วัสดุสำนักงานจำนวน 18 รายการ</t>
  </si>
  <si>
    <t>......../63</t>
  </si>
  <si>
    <t>ตลับหมึก CANON PG-810 BK</t>
  </si>
  <si>
    <t>หมึกเติม CANON 100 ml. BK - Color Fly</t>
  </si>
  <si>
    <t>ขวด</t>
  </si>
  <si>
    <t>หมึกเติม CANON 100 ml. C - Color Fly</t>
  </si>
  <si>
    <t>หมึกเติม CANON 100 ml. M - Color Fly</t>
  </si>
  <si>
    <t>หมึกเติม CANON 100 ml. Y - Color Fly</t>
  </si>
  <si>
    <t>หมึกเติม BROTHER BT-D60 BK</t>
  </si>
  <si>
    <t>เพื่อใช้ในการบริหารจัดการ</t>
  </si>
  <si>
    <t>วัสดุสิ้นเปลือง (คอมพิวเตอร์ ) จำนวน 6 รายการ</t>
  </si>
  <si>
    <t>โรงเรียนบ้านนอกคอกนา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</si>
</sst>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87" formatCode="[$-D01041E]d\ mmmm\ yyyy;@"/>
    <numFmt numFmtId="188" formatCode="[$-F800]dddd\,\ mmmm\ dd\,\ yyyy"/>
    <numFmt numFmtId="189" formatCode="d\ mmmm\ yyyy"/>
    <numFmt numFmtId="190" formatCode="&quot;฿&quot;#,##0.0000"/>
    <numFmt numFmtId="191" formatCode="0\-0000\-00000\-00\-0"/>
  </numFmts>
  <fonts count="27" x14ac:knownFonts="1">
    <font>
      <sz val="11"/>
      <color theme="1"/>
      <name val="Tahoma"/>
      <family val="2"/>
      <charset val="222"/>
      <scheme val="minor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0"/>
      <color theme="0"/>
      <name val="TH SarabunPSK"/>
      <family val="2"/>
    </font>
    <font>
      <b/>
      <sz val="16"/>
      <color theme="0"/>
      <name val="TH SarabunIT๙"/>
      <family val="2"/>
    </font>
    <font>
      <b/>
      <sz val="16"/>
      <color theme="1"/>
      <name val="TH SarabunIT๙"/>
      <family val="2"/>
    </font>
    <font>
      <b/>
      <sz val="16"/>
      <color theme="0"/>
      <name val="TH SarabunPSK"/>
      <family val="2"/>
    </font>
    <font>
      <b/>
      <sz val="15"/>
      <color theme="0"/>
      <name val="TH SarabunPSK"/>
      <family val="2"/>
    </font>
    <font>
      <sz val="15"/>
      <color theme="1"/>
      <name val="TH SarabunPSK"/>
      <family val="2"/>
    </font>
    <font>
      <b/>
      <sz val="15"/>
      <color theme="1"/>
      <name val="TH SarabunPSK"/>
      <family val="2"/>
    </font>
    <font>
      <b/>
      <sz val="14"/>
      <color theme="1"/>
      <name val="TH SarabunPSK"/>
      <family val="2"/>
    </font>
    <font>
      <b/>
      <sz val="15"/>
      <name val="TH SarabunPSK"/>
      <family val="2"/>
    </font>
    <font>
      <sz val="15"/>
      <color theme="1"/>
      <name val="TH SarabunIT๙"/>
      <family val="2"/>
    </font>
    <font>
      <b/>
      <sz val="29"/>
      <color theme="1"/>
      <name val="TH SarabunIT๙"/>
      <family val="2"/>
    </font>
    <font>
      <b/>
      <sz val="15"/>
      <color theme="1"/>
      <name val="TH SarabunIT๙"/>
      <family val="2"/>
    </font>
    <font>
      <sz val="11"/>
      <color theme="1"/>
      <name val="Tahoma"/>
      <family val="2"/>
      <charset val="222"/>
      <scheme val="minor"/>
    </font>
    <font>
      <b/>
      <sz val="20"/>
      <color theme="1"/>
      <name val="TH SarabunIT๙"/>
      <family val="2"/>
    </font>
    <font>
      <b/>
      <sz val="22"/>
      <color theme="1"/>
      <name val="TH SarabunIT๙"/>
      <family val="2"/>
    </font>
    <font>
      <b/>
      <sz val="26"/>
      <color theme="1"/>
      <name val="TH SarabunPSK"/>
      <family val="2"/>
    </font>
    <font>
      <b/>
      <sz val="23"/>
      <color theme="0"/>
      <name val="TH SarabunPSK"/>
      <family val="2"/>
    </font>
    <font>
      <b/>
      <sz val="48"/>
      <color theme="0"/>
      <name val="TH SarabunPSK"/>
      <family val="2"/>
    </font>
    <font>
      <sz val="14"/>
      <color theme="1"/>
      <name val="TH SarabunPSK"/>
      <family val="2"/>
    </font>
    <font>
      <b/>
      <sz val="22"/>
      <color theme="1"/>
      <name val="TH SarabunPSK"/>
      <family val="2"/>
    </font>
    <font>
      <sz val="15"/>
      <color theme="0"/>
      <name val="TH SarabunIT๙"/>
      <family val="2"/>
    </font>
    <font>
      <sz val="15"/>
      <name val="TH SarabunIT๙"/>
      <family val="2"/>
    </font>
    <font>
      <sz val="14"/>
      <color theme="1"/>
      <name val="TH SarabunIT๙"/>
      <family val="2"/>
    </font>
    <font>
      <sz val="14"/>
      <name val="TH SarabunIT๙"/>
      <family val="2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5" fillId="0" borderId="0" applyFont="0" applyFill="0" applyBorder="0" applyAlignment="0" applyProtection="0"/>
  </cellStyleXfs>
  <cellXfs count="20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4" fontId="1" fillId="0" borderId="1" xfId="0" applyNumberFormat="1" applyFont="1" applyBorder="1"/>
    <xf numFmtId="0" fontId="2" fillId="5" borderId="1" xfId="0" applyFont="1" applyFill="1" applyBorder="1"/>
    <xf numFmtId="0" fontId="8" fillId="4" borderId="0" xfId="0" applyFont="1" applyFill="1" applyAlignment="1">
      <alignment horizontal="left" vertical="center"/>
    </xf>
    <xf numFmtId="0" fontId="8" fillId="0" borderId="0" xfId="0" applyFont="1"/>
    <xf numFmtId="0" fontId="9" fillId="5" borderId="1" xfId="0" applyFont="1" applyFill="1" applyBorder="1"/>
    <xf numFmtId="0" fontId="9" fillId="6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5" borderId="3" xfId="0" applyFont="1" applyFill="1" applyBorder="1"/>
    <xf numFmtId="0" fontId="12" fillId="4" borderId="0" xfId="0" applyFont="1" applyFill="1"/>
    <xf numFmtId="0" fontId="14" fillId="4" borderId="0" xfId="0" applyFont="1" applyFill="1"/>
    <xf numFmtId="0" fontId="12" fillId="4" borderId="0" xfId="0" applyFont="1" applyFill="1" applyAlignment="1">
      <alignment horizontal="left"/>
    </xf>
    <xf numFmtId="0" fontId="14" fillId="4" borderId="0" xfId="0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2" fillId="4" borderId="0" xfId="0" applyFont="1" applyFill="1" applyAlignment="1">
      <alignment vertical="center"/>
    </xf>
    <xf numFmtId="0" fontId="14" fillId="4" borderId="0" xfId="0" applyFont="1" applyFill="1" applyAlignment="1">
      <alignment vertical="top"/>
    </xf>
    <xf numFmtId="0" fontId="12" fillId="4" borderId="0" xfId="0" applyFont="1" applyFill="1" applyAlignment="1">
      <alignment vertical="top"/>
    </xf>
    <xf numFmtId="0" fontId="12" fillId="4" borderId="0" xfId="0" applyFont="1" applyFill="1" applyAlignment="1">
      <alignment horizontal="left" vertical="top" wrapText="1"/>
    </xf>
    <xf numFmtId="0" fontId="14" fillId="4" borderId="0" xfId="0" applyFont="1" applyFill="1" applyAlignment="1">
      <alignment horizontal="left"/>
    </xf>
    <xf numFmtId="0" fontId="12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center"/>
    </xf>
    <xf numFmtId="0" fontId="14" fillId="4" borderId="0" xfId="0" quotePrefix="1" applyFont="1" applyFill="1"/>
    <xf numFmtId="0" fontId="12" fillId="4" borderId="0" xfId="0" applyFont="1" applyFill="1" applyAlignment="1">
      <alignment horizontal="center" vertical="center"/>
    </xf>
    <xf numFmtId="188" fontId="12" fillId="4" borderId="0" xfId="0" applyNumberFormat="1" applyFont="1" applyFill="1" applyAlignment="1">
      <alignment vertical="center"/>
    </xf>
    <xf numFmtId="0" fontId="4" fillId="0" borderId="0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2" fillId="5" borderId="0" xfId="0" applyFont="1" applyFill="1" applyBorder="1"/>
    <xf numFmtId="0" fontId="14" fillId="4" borderId="0" xfId="0" applyFont="1" applyFill="1" applyAlignment="1">
      <alignment horizontal="left" vertical="center"/>
    </xf>
    <xf numFmtId="187" fontId="12" fillId="4" borderId="0" xfId="0" applyNumberFormat="1" applyFont="1" applyFill="1" applyAlignment="1">
      <alignment horizontal="center"/>
    </xf>
    <xf numFmtId="0" fontId="12" fillId="4" borderId="1" xfId="0" quotePrefix="1" applyFont="1" applyFill="1" applyBorder="1" applyAlignment="1">
      <alignment horizontal="center" vertical="center"/>
    </xf>
    <xf numFmtId="2" fontId="12" fillId="4" borderId="1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2" fillId="4" borderId="0" xfId="0" applyFont="1" applyFill="1" applyAlignment="1"/>
    <xf numFmtId="0" fontId="14" fillId="4" borderId="0" xfId="0" applyFont="1" applyFill="1" applyAlignment="1"/>
    <xf numFmtId="3" fontId="12" fillId="4" borderId="1" xfId="0" applyNumberFormat="1" applyFont="1" applyFill="1" applyBorder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88" fontId="12" fillId="4" borderId="0" xfId="0" applyNumberFormat="1" applyFont="1" applyFill="1"/>
    <xf numFmtId="0" fontId="1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191" fontId="1" fillId="0" borderId="1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/>
    </xf>
    <xf numFmtId="4" fontId="12" fillId="4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/>
    </xf>
    <xf numFmtId="188" fontId="14" fillId="4" borderId="0" xfId="0" applyNumberFormat="1" applyFont="1" applyFill="1" applyAlignment="1">
      <alignment horizontal="left" vertical="center"/>
    </xf>
    <xf numFmtId="0" fontId="23" fillId="4" borderId="0" xfId="0" applyFont="1" applyFill="1"/>
    <xf numFmtId="0" fontId="23" fillId="4" borderId="0" xfId="0" applyFont="1" applyFill="1" applyAlignment="1">
      <alignment horizontal="center" vertical="center"/>
    </xf>
    <xf numFmtId="0" fontId="14" fillId="4" borderId="8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 vertical="center"/>
    </xf>
    <xf numFmtId="1" fontId="12" fillId="4" borderId="1" xfId="0" applyNumberFormat="1" applyFont="1" applyFill="1" applyBorder="1" applyAlignment="1">
      <alignment horizontal="center" vertical="center"/>
    </xf>
    <xf numFmtId="4" fontId="12" fillId="4" borderId="11" xfId="0" applyNumberFormat="1" applyFont="1" applyFill="1" applyBorder="1" applyAlignment="1">
      <alignment horizontal="center" vertical="center"/>
    </xf>
    <xf numFmtId="4" fontId="12" fillId="4" borderId="11" xfId="0" applyNumberFormat="1" applyFont="1" applyFill="1" applyBorder="1"/>
    <xf numFmtId="0" fontId="24" fillId="4" borderId="1" xfId="0" applyFont="1" applyFill="1" applyBorder="1" applyAlignment="1">
      <alignment horizontal="center"/>
    </xf>
    <xf numFmtId="1" fontId="24" fillId="4" borderId="1" xfId="0" applyNumberFormat="1" applyFont="1" applyFill="1" applyBorder="1" applyAlignment="1">
      <alignment horizontal="center" vertical="center"/>
    </xf>
    <xf numFmtId="4" fontId="24" fillId="4" borderId="1" xfId="0" applyNumberFormat="1" applyFont="1" applyFill="1" applyBorder="1" applyAlignment="1">
      <alignment horizontal="center" vertical="center"/>
    </xf>
    <xf numFmtId="0" fontId="24" fillId="4" borderId="1" xfId="0" applyFont="1" applyFill="1" applyBorder="1"/>
    <xf numFmtId="4" fontId="24" fillId="4" borderId="11" xfId="0" applyNumberFormat="1" applyFont="1" applyFill="1" applyBorder="1" applyAlignment="1">
      <alignment horizontal="center" vertical="center"/>
    </xf>
    <xf numFmtId="4" fontId="24" fillId="4" borderId="11" xfId="0" applyNumberFormat="1" applyFont="1" applyFill="1" applyBorder="1"/>
    <xf numFmtId="4" fontId="14" fillId="4" borderId="1" xfId="0" applyNumberFormat="1" applyFont="1" applyFill="1" applyBorder="1"/>
    <xf numFmtId="0" fontId="25" fillId="4" borderId="1" xfId="0" applyFont="1" applyFill="1" applyBorder="1" applyAlignment="1">
      <alignment horizontal="left" vertical="center"/>
    </xf>
    <xf numFmtId="4" fontId="12" fillId="4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/>
    </xf>
    <xf numFmtId="0" fontId="26" fillId="4" borderId="1" xfId="0" applyFont="1" applyFill="1" applyBorder="1"/>
    <xf numFmtId="0" fontId="18" fillId="8" borderId="6" xfId="0" applyFont="1" applyFill="1" applyBorder="1" applyAlignment="1">
      <alignment horizontal="center" vertical="center"/>
    </xf>
    <xf numFmtId="0" fontId="18" fillId="8" borderId="7" xfId="0" applyFont="1" applyFill="1" applyBorder="1" applyAlignment="1">
      <alignment horizontal="center" vertical="center"/>
    </xf>
    <xf numFmtId="0" fontId="18" fillId="8" borderId="10" xfId="0" applyFont="1" applyFill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0" fontId="18" fillId="8" borderId="0" xfId="0" applyFont="1" applyFill="1" applyBorder="1" applyAlignment="1">
      <alignment horizontal="center" vertical="center"/>
    </xf>
    <xf numFmtId="0" fontId="18" fillId="8" borderId="14" xfId="0" applyFont="1" applyFill="1" applyBorder="1" applyAlignment="1">
      <alignment horizontal="center" vertical="center"/>
    </xf>
    <xf numFmtId="0" fontId="18" fillId="8" borderId="12" xfId="0" applyFont="1" applyFill="1" applyBorder="1" applyAlignment="1">
      <alignment horizontal="center" vertical="center"/>
    </xf>
    <xf numFmtId="0" fontId="18" fillId="8" borderId="8" xfId="0" applyFont="1" applyFill="1" applyBorder="1" applyAlignment="1">
      <alignment horizontal="center" vertical="center"/>
    </xf>
    <xf numFmtId="0" fontId="18" fillId="8" borderId="13" xfId="0" applyFont="1" applyFill="1" applyBorder="1" applyAlignment="1">
      <alignment horizontal="center" vertical="center"/>
    </xf>
    <xf numFmtId="0" fontId="19" fillId="9" borderId="6" xfId="0" applyFont="1" applyFill="1" applyBorder="1" applyAlignment="1">
      <alignment horizontal="center" vertical="center" wrapText="1"/>
    </xf>
    <xf numFmtId="0" fontId="19" fillId="9" borderId="7" xfId="0" applyFont="1" applyFill="1" applyBorder="1" applyAlignment="1">
      <alignment horizontal="center" vertical="center"/>
    </xf>
    <xf numFmtId="0" fontId="19" fillId="9" borderId="10" xfId="0" applyFont="1" applyFill="1" applyBorder="1" applyAlignment="1">
      <alignment horizontal="center" vertical="center"/>
    </xf>
    <xf numFmtId="0" fontId="19" fillId="9" borderId="2" xfId="0" applyFont="1" applyFill="1" applyBorder="1" applyAlignment="1">
      <alignment horizontal="center" vertical="center"/>
    </xf>
    <xf numFmtId="0" fontId="19" fillId="9" borderId="0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8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9" borderId="8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/>
    </xf>
    <xf numFmtId="0" fontId="9" fillId="8" borderId="1" xfId="0" applyFont="1" applyFill="1" applyBorder="1" applyAlignment="1">
      <alignment horizontal="center" vertical="center"/>
    </xf>
    <xf numFmtId="4" fontId="2" fillId="6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89" fontId="2" fillId="8" borderId="1" xfId="0" applyNumberFormat="1" applyFont="1" applyFill="1" applyBorder="1" applyAlignment="1">
      <alignment horizontal="center" vertical="center"/>
    </xf>
    <xf numFmtId="4" fontId="2" fillId="8" borderId="1" xfId="0" applyNumberFormat="1" applyFont="1" applyFill="1" applyBorder="1" applyAlignment="1">
      <alignment horizontal="center" vertical="center"/>
    </xf>
    <xf numFmtId="191" fontId="2" fillId="8" borderId="3" xfId="0" applyNumberFormat="1" applyFont="1" applyFill="1" applyBorder="1" applyAlignment="1">
      <alignment horizontal="center" vertical="center"/>
    </xf>
    <xf numFmtId="191" fontId="2" fillId="8" borderId="4" xfId="0" applyNumberFormat="1" applyFont="1" applyFill="1" applyBorder="1" applyAlignment="1">
      <alignment horizontal="center" vertical="center"/>
    </xf>
    <xf numFmtId="191" fontId="2" fillId="8" borderId="5" xfId="0" applyNumberFormat="1" applyFont="1" applyFill="1" applyBorder="1" applyAlignment="1">
      <alignment horizontal="center" vertical="center"/>
    </xf>
    <xf numFmtId="1" fontId="2" fillId="8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left" vertical="center"/>
    </xf>
    <xf numFmtId="3" fontId="2" fillId="6" borderId="1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 vertical="center"/>
    </xf>
    <xf numFmtId="4" fontId="9" fillId="8" borderId="1" xfId="0" applyNumberFormat="1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12" fillId="4" borderId="0" xfId="0" applyFont="1" applyFill="1" applyAlignment="1">
      <alignment horizontal="left" vertical="top"/>
    </xf>
    <xf numFmtId="0" fontId="13" fillId="4" borderId="0" xfId="0" applyFont="1" applyFill="1" applyAlignment="1">
      <alignment horizontal="center" vertical="center"/>
    </xf>
    <xf numFmtId="49" fontId="12" fillId="4" borderId="0" xfId="0" applyNumberFormat="1" applyFont="1" applyFill="1" applyAlignment="1">
      <alignment horizontal="left"/>
    </xf>
    <xf numFmtId="0" fontId="12" fillId="4" borderId="0" xfId="0" applyNumberFormat="1" applyFont="1" applyFill="1" applyAlignment="1">
      <alignment horizontal="left"/>
    </xf>
    <xf numFmtId="187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2" fillId="4" borderId="0" xfId="0" quotePrefix="1" applyFont="1" applyFill="1" applyAlignment="1">
      <alignment horizontal="center" vertical="center"/>
    </xf>
    <xf numFmtId="0" fontId="12" fillId="4" borderId="0" xfId="0" applyFont="1" applyFill="1" applyAlignment="1">
      <alignment horizontal="justify" vertical="top" wrapText="1"/>
    </xf>
    <xf numFmtId="0" fontId="12" fillId="4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top" wrapText="1"/>
    </xf>
    <xf numFmtId="0" fontId="14" fillId="4" borderId="0" xfId="0" applyFont="1" applyFill="1" applyAlignment="1">
      <alignment horizontal="left"/>
    </xf>
    <xf numFmtId="188" fontId="12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188" fontId="14" fillId="4" borderId="0" xfId="0" applyNumberFormat="1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/>
      <protection locked="0"/>
    </xf>
    <xf numFmtId="0" fontId="14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/>
    </xf>
    <xf numFmtId="0" fontId="14" fillId="4" borderId="0" xfId="0" applyFont="1" applyFill="1" applyAlignment="1">
      <alignment horizontal="center" vertical="center" wrapText="1"/>
    </xf>
    <xf numFmtId="4" fontId="12" fillId="4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3" fontId="12" fillId="4" borderId="1" xfId="0" applyNumberFormat="1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2" fillId="4" borderId="3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59" fontId="12" fillId="4" borderId="0" xfId="0" applyNumberFormat="1" applyFont="1" applyFill="1" applyAlignment="1">
      <alignment horizontal="left" vertical="top" wrapText="1"/>
    </xf>
    <xf numFmtId="0" fontId="12" fillId="4" borderId="3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43" fontId="12" fillId="4" borderId="1" xfId="0" applyNumberFormat="1" applyFont="1" applyFill="1" applyBorder="1" applyAlignment="1">
      <alignment horizontal="right"/>
    </xf>
    <xf numFmtId="0" fontId="12" fillId="4" borderId="1" xfId="0" applyFont="1" applyFill="1" applyBorder="1" applyAlignment="1">
      <alignment horizontal="right"/>
    </xf>
    <xf numFmtId="0" fontId="12" fillId="4" borderId="1" xfId="0" applyFont="1" applyFill="1" applyBorder="1" applyAlignment="1">
      <alignment horizontal="center"/>
    </xf>
    <xf numFmtId="4" fontId="12" fillId="4" borderId="1" xfId="0" applyNumberFormat="1" applyFont="1" applyFill="1" applyBorder="1" applyAlignment="1">
      <alignment horizontal="right"/>
    </xf>
    <xf numFmtId="190" fontId="12" fillId="4" borderId="1" xfId="1" applyNumberFormat="1" applyFont="1" applyFill="1" applyBorder="1" applyAlignment="1">
      <alignment horizontal="right"/>
    </xf>
    <xf numFmtId="188" fontId="14" fillId="4" borderId="0" xfId="0" applyNumberFormat="1" applyFont="1" applyFill="1" applyAlignment="1">
      <alignment horizontal="left"/>
    </xf>
    <xf numFmtId="1" fontId="12" fillId="4" borderId="0" xfId="0" applyNumberFormat="1" applyFont="1" applyFill="1" applyAlignment="1">
      <alignment horizontal="left"/>
    </xf>
    <xf numFmtId="1" fontId="12" fillId="4" borderId="0" xfId="0" applyNumberFormat="1" applyFont="1" applyFill="1" applyAlignment="1">
      <alignment horizontal="left" vertical="center"/>
    </xf>
    <xf numFmtId="0" fontId="12" fillId="4" borderId="8" xfId="0" applyFont="1" applyFill="1" applyBorder="1" applyAlignment="1">
      <alignment horizontal="left" vertical="top" wrapText="1"/>
    </xf>
    <xf numFmtId="0" fontId="14" fillId="4" borderId="9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14" fillId="4" borderId="7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0" fontId="14" fillId="4" borderId="13" xfId="0" applyFont="1" applyFill="1" applyBorder="1" applyAlignment="1">
      <alignment horizontal="center" vertical="center"/>
    </xf>
    <xf numFmtId="4" fontId="12" fillId="4" borderId="0" xfId="0" applyNumberFormat="1" applyFont="1" applyFill="1" applyAlignment="1">
      <alignment horizontal="left" vertical="center"/>
    </xf>
    <xf numFmtId="1" fontId="12" fillId="4" borderId="0" xfId="0" applyNumberFormat="1" applyFont="1" applyFill="1" applyAlignment="1">
      <alignment horizontal="left" vertical="center" wrapText="1"/>
    </xf>
    <xf numFmtId="0" fontId="12" fillId="4" borderId="0" xfId="0" applyFont="1" applyFill="1" applyAlignment="1">
      <alignment horizontal="left" vertical="center" wrapText="1"/>
    </xf>
    <xf numFmtId="0" fontId="16" fillId="4" borderId="0" xfId="0" applyFont="1" applyFill="1" applyAlignment="1">
      <alignment horizontal="center"/>
    </xf>
    <xf numFmtId="0" fontId="14" fillId="4" borderId="0" xfId="0" applyFont="1" applyFill="1" applyAlignment="1">
      <alignment horizontal="left" vertical="center"/>
    </xf>
    <xf numFmtId="0" fontId="12" fillId="4" borderId="0" xfId="0" applyNumberFormat="1" applyFont="1" applyFill="1" applyAlignment="1">
      <alignment horizontal="left" vertical="center"/>
    </xf>
    <xf numFmtId="4" fontId="12" fillId="4" borderId="0" xfId="0" applyNumberFormat="1" applyFont="1" applyFill="1" applyAlignment="1">
      <alignment vertical="top" wrapText="1"/>
    </xf>
    <xf numFmtId="0" fontId="12" fillId="4" borderId="0" xfId="0" applyFont="1" applyFill="1" applyAlignment="1">
      <alignment vertical="top" wrapText="1"/>
    </xf>
    <xf numFmtId="187" fontId="12" fillId="4" borderId="0" xfId="0" applyNumberFormat="1" applyFont="1" applyFill="1" applyAlignment="1">
      <alignment horizontal="left" vertical="center"/>
    </xf>
    <xf numFmtId="49" fontId="12" fillId="4" borderId="0" xfId="0" applyNumberFormat="1" applyFont="1" applyFill="1" applyAlignment="1">
      <alignment horizontal="center" vertical="center"/>
    </xf>
    <xf numFmtId="1" fontId="12" fillId="4" borderId="0" xfId="0" applyNumberFormat="1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0" fontId="12" fillId="4" borderId="0" xfId="0" applyFont="1" applyFill="1" applyAlignment="1">
      <alignment horizontal="right" vertical="center"/>
    </xf>
    <xf numFmtId="0" fontId="12" fillId="4" borderId="0" xfId="0" applyNumberFormat="1" applyFont="1" applyFill="1" applyAlignment="1">
      <alignment horizontal="left" vertical="top" wrapText="1" readingOrder="1"/>
    </xf>
    <xf numFmtId="0" fontId="12" fillId="4" borderId="0" xfId="0" applyNumberFormat="1" applyFont="1" applyFill="1" applyAlignment="1">
      <alignment horizontal="left" vertical="top" wrapText="1"/>
    </xf>
    <xf numFmtId="0" fontId="14" fillId="4" borderId="0" xfId="0" applyFont="1" applyFill="1" applyAlignment="1">
      <alignment horizontal="left" wrapText="1"/>
    </xf>
  </cellXfs>
  <cellStyles count="2">
    <cellStyle name="จุลภาค" xfId="1" builtinId="3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16</xdr:row>
      <xdr:rowOff>190500</xdr:rowOff>
    </xdr:from>
    <xdr:to>
      <xdr:col>5</xdr:col>
      <xdr:colOff>552450</xdr:colOff>
      <xdr:row>16</xdr:row>
      <xdr:rowOff>190500</xdr:rowOff>
    </xdr:to>
    <xdr:cxnSp macro="">
      <xdr:nvCxnSpPr>
        <xdr:cNvPr id="3" name="ลูกศรเชื่อมต่อแบบตร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H="1">
          <a:off x="6762750" y="5314950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161925</xdr:colOff>
      <xdr:row>15</xdr:row>
      <xdr:rowOff>180975</xdr:rowOff>
    </xdr:from>
    <xdr:to>
      <xdr:col>5</xdr:col>
      <xdr:colOff>561975</xdr:colOff>
      <xdr:row>15</xdr:row>
      <xdr:rowOff>180975</xdr:rowOff>
    </xdr:to>
    <xdr:cxnSp macro="">
      <xdr:nvCxnSpPr>
        <xdr:cNvPr id="4" name="ลูกศรเชื่อมต่อแบบตรง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H="1">
          <a:off x="6772275" y="5000625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152400</xdr:colOff>
      <xdr:row>14</xdr:row>
      <xdr:rowOff>152400</xdr:rowOff>
    </xdr:from>
    <xdr:to>
      <xdr:col>5</xdr:col>
      <xdr:colOff>552450</xdr:colOff>
      <xdr:row>14</xdr:row>
      <xdr:rowOff>152400</xdr:rowOff>
    </xdr:to>
    <xdr:cxnSp macro="">
      <xdr:nvCxnSpPr>
        <xdr:cNvPr id="5" name="ลูกศรเชื่อมต่อแบบตร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6762750" y="4667250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152400</xdr:colOff>
      <xdr:row>31</xdr:row>
      <xdr:rowOff>152400</xdr:rowOff>
    </xdr:from>
    <xdr:to>
      <xdr:col>5</xdr:col>
      <xdr:colOff>552450</xdr:colOff>
      <xdr:row>31</xdr:row>
      <xdr:rowOff>152400</xdr:rowOff>
    </xdr:to>
    <xdr:cxnSp macro="">
      <xdr:nvCxnSpPr>
        <xdr:cNvPr id="6" name="ลูกศรเชื่อมต่อแบบตรง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H="1">
          <a:off x="6762750" y="9525000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95250</xdr:colOff>
      <xdr:row>25</xdr:row>
      <xdr:rowOff>152400</xdr:rowOff>
    </xdr:from>
    <xdr:to>
      <xdr:col>5</xdr:col>
      <xdr:colOff>495300</xdr:colOff>
      <xdr:row>25</xdr:row>
      <xdr:rowOff>152400</xdr:rowOff>
    </xdr:to>
    <xdr:cxnSp macro="">
      <xdr:nvCxnSpPr>
        <xdr:cNvPr id="7" name="ลูกศรเชื่อมต่อแบบตรง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flipH="1">
          <a:off x="6705600" y="7705725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104775</xdr:colOff>
      <xdr:row>26</xdr:row>
      <xdr:rowOff>161925</xdr:rowOff>
    </xdr:from>
    <xdr:to>
      <xdr:col>5</xdr:col>
      <xdr:colOff>504825</xdr:colOff>
      <xdr:row>26</xdr:row>
      <xdr:rowOff>161925</xdr:rowOff>
    </xdr:to>
    <xdr:cxnSp macro="">
      <xdr:nvCxnSpPr>
        <xdr:cNvPr id="8" name="ลูกศรเชื่อมต่อแบบตรง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6715125" y="8020050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95250</xdr:colOff>
      <xdr:row>27</xdr:row>
      <xdr:rowOff>152400</xdr:rowOff>
    </xdr:from>
    <xdr:to>
      <xdr:col>5</xdr:col>
      <xdr:colOff>495300</xdr:colOff>
      <xdr:row>27</xdr:row>
      <xdr:rowOff>152400</xdr:rowOff>
    </xdr:to>
    <xdr:cxnSp macro="">
      <xdr:nvCxnSpPr>
        <xdr:cNvPr id="9" name="ลูกศรเชื่อมต่อแบบตรง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H="1">
          <a:off x="6705600" y="8315325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35</xdr:row>
      <xdr:rowOff>152400</xdr:rowOff>
    </xdr:from>
    <xdr:to>
      <xdr:col>5</xdr:col>
      <xdr:colOff>590550</xdr:colOff>
      <xdr:row>35</xdr:row>
      <xdr:rowOff>152400</xdr:rowOff>
    </xdr:to>
    <xdr:cxnSp macro="">
      <xdr:nvCxnSpPr>
        <xdr:cNvPr id="10" name="ลูกศรเชื่อมต่อแบบตรง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H="1">
          <a:off x="6800850" y="11039475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152400</xdr:colOff>
      <xdr:row>51</xdr:row>
      <xdr:rowOff>161925</xdr:rowOff>
    </xdr:from>
    <xdr:to>
      <xdr:col>5</xdr:col>
      <xdr:colOff>552450</xdr:colOff>
      <xdr:row>51</xdr:row>
      <xdr:rowOff>161925</xdr:rowOff>
    </xdr:to>
    <xdr:cxnSp macro="">
      <xdr:nvCxnSpPr>
        <xdr:cNvPr id="11" name="ลูกศรเชื่อมต่อแบบตรง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H="1">
          <a:off x="6762750" y="15897225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58</xdr:row>
      <xdr:rowOff>171450</xdr:rowOff>
    </xdr:from>
    <xdr:to>
      <xdr:col>5</xdr:col>
      <xdr:colOff>533400</xdr:colOff>
      <xdr:row>58</xdr:row>
      <xdr:rowOff>171450</xdr:rowOff>
    </xdr:to>
    <xdr:cxnSp macro="">
      <xdr:nvCxnSpPr>
        <xdr:cNvPr id="12" name="ลูกศรเชื่อมต่อแบบตรง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 flipH="1">
          <a:off x="6743700" y="18021300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62</xdr:row>
      <xdr:rowOff>161925</xdr:rowOff>
    </xdr:from>
    <xdr:to>
      <xdr:col>5</xdr:col>
      <xdr:colOff>542925</xdr:colOff>
      <xdr:row>62</xdr:row>
      <xdr:rowOff>161925</xdr:rowOff>
    </xdr:to>
    <xdr:cxnSp macro="">
      <xdr:nvCxnSpPr>
        <xdr:cNvPr id="13" name="ลูกศรเชื่อมต่อแบบตรง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flipH="1">
          <a:off x="6753225" y="19211925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65</xdr:row>
      <xdr:rowOff>171450</xdr:rowOff>
    </xdr:from>
    <xdr:to>
      <xdr:col>5</xdr:col>
      <xdr:colOff>533400</xdr:colOff>
      <xdr:row>65</xdr:row>
      <xdr:rowOff>171450</xdr:rowOff>
    </xdr:to>
    <xdr:cxnSp macro="">
      <xdr:nvCxnSpPr>
        <xdr:cNvPr id="14" name="ลูกศรเชื่อมต่อแบบตรง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H="1">
          <a:off x="6743700" y="20116800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161925</xdr:colOff>
      <xdr:row>69</xdr:row>
      <xdr:rowOff>152400</xdr:rowOff>
    </xdr:from>
    <xdr:to>
      <xdr:col>5</xdr:col>
      <xdr:colOff>561975</xdr:colOff>
      <xdr:row>69</xdr:row>
      <xdr:rowOff>152400</xdr:rowOff>
    </xdr:to>
    <xdr:cxnSp macro="">
      <xdr:nvCxnSpPr>
        <xdr:cNvPr id="15" name="ลูกศรเชื่อมต่อแบบตรง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 flipH="1">
          <a:off x="6772275" y="21297900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3</xdr:row>
      <xdr:rowOff>133350</xdr:rowOff>
    </xdr:from>
    <xdr:to>
      <xdr:col>5</xdr:col>
      <xdr:colOff>447675</xdr:colOff>
      <xdr:row>10</xdr:row>
      <xdr:rowOff>161925</xdr:rowOff>
    </xdr:to>
    <xdr:grpSp>
      <xdr:nvGrpSpPr>
        <xdr:cNvPr id="26" name="กลุ่ม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pSpPr/>
      </xdr:nvGrpSpPr>
      <xdr:grpSpPr>
        <a:xfrm>
          <a:off x="6686550" y="1295400"/>
          <a:ext cx="1057275" cy="1762125"/>
          <a:chOff x="6705600" y="1400175"/>
          <a:chExt cx="1057275" cy="2095500"/>
        </a:xfrm>
      </xdr:grpSpPr>
      <xdr:grpSp>
        <xdr:nvGrpSpPr>
          <xdr:cNvPr id="23" name="กลุ่ม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GrpSpPr/>
        </xdr:nvGrpSpPr>
        <xdr:grpSpPr>
          <a:xfrm>
            <a:off x="6705600" y="1400175"/>
            <a:ext cx="885825" cy="2095500"/>
            <a:chOff x="6724650" y="1400175"/>
            <a:chExt cx="885825" cy="2095500"/>
          </a:xfrm>
        </xdr:grpSpPr>
        <xdr:cxnSp macro="">
          <xdr:nvCxnSpPr>
            <xdr:cNvPr id="19" name="ตัวเชื่อมต่อตรง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CxnSpPr/>
          </xdr:nvCxnSpPr>
          <xdr:spPr>
            <a:xfrm>
              <a:off x="6724650" y="3486150"/>
              <a:ext cx="885825" cy="0"/>
            </a:xfrm>
            <a:prstGeom prst="line">
              <a:avLst/>
            </a:prstGeom>
            <a:ln w="381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" name="ตัวเชื่อมต่อตรง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CxnSpPr/>
          </xdr:nvCxnSpPr>
          <xdr:spPr>
            <a:xfrm>
              <a:off x="6724650" y="1409700"/>
              <a:ext cx="885825" cy="0"/>
            </a:xfrm>
            <a:prstGeom prst="line">
              <a:avLst/>
            </a:prstGeom>
            <a:ln w="381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" name="ตัวเชื่อมต่อตรง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CxnSpPr/>
          </xdr:nvCxnSpPr>
          <xdr:spPr>
            <a:xfrm>
              <a:off x="7600950" y="1400175"/>
              <a:ext cx="0" cy="2095500"/>
            </a:xfrm>
            <a:prstGeom prst="line">
              <a:avLst/>
            </a:prstGeom>
            <a:ln w="381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5" name="ลูกศรเชื่อมต่อแบบตรง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7562850" y="2419350"/>
            <a:ext cx="200025" cy="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161925</xdr:colOff>
      <xdr:row>17</xdr:row>
      <xdr:rowOff>76200</xdr:rowOff>
    </xdr:from>
    <xdr:to>
      <xdr:col>5</xdr:col>
      <xdr:colOff>533400</xdr:colOff>
      <xdr:row>20</xdr:row>
      <xdr:rowOff>209550</xdr:rowOff>
    </xdr:to>
    <xdr:grpSp>
      <xdr:nvGrpSpPr>
        <xdr:cNvPr id="27" name="กลุ่ม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pSpPr/>
      </xdr:nvGrpSpPr>
      <xdr:grpSpPr>
        <a:xfrm>
          <a:off x="6772275" y="4800600"/>
          <a:ext cx="1057275" cy="933450"/>
          <a:chOff x="6705600" y="1400175"/>
          <a:chExt cx="1057275" cy="2095500"/>
        </a:xfrm>
      </xdr:grpSpPr>
      <xdr:grpSp>
        <xdr:nvGrpSpPr>
          <xdr:cNvPr id="28" name="กลุ่ม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GrpSpPr/>
        </xdr:nvGrpSpPr>
        <xdr:grpSpPr>
          <a:xfrm>
            <a:off x="6705600" y="1400175"/>
            <a:ext cx="885825" cy="2095500"/>
            <a:chOff x="6724650" y="1400175"/>
            <a:chExt cx="885825" cy="2095500"/>
          </a:xfrm>
        </xdr:grpSpPr>
        <xdr:cxnSp macro="">
          <xdr:nvCxnSpPr>
            <xdr:cNvPr id="30" name="ตัวเชื่อมต่อตรง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CxnSpPr/>
          </xdr:nvCxnSpPr>
          <xdr:spPr>
            <a:xfrm>
              <a:off x="6724650" y="3486150"/>
              <a:ext cx="885825" cy="0"/>
            </a:xfrm>
            <a:prstGeom prst="line">
              <a:avLst/>
            </a:prstGeom>
            <a:ln w="381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ตัวเชื่อมต่อตรง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CxnSpPr/>
          </xdr:nvCxnSpPr>
          <xdr:spPr>
            <a:xfrm>
              <a:off x="6724650" y="1409700"/>
              <a:ext cx="885825" cy="0"/>
            </a:xfrm>
            <a:prstGeom prst="line">
              <a:avLst/>
            </a:prstGeom>
            <a:ln w="381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ตัวเชื่อมต่อตรง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CxnSpPr/>
          </xdr:nvCxnSpPr>
          <xdr:spPr>
            <a:xfrm>
              <a:off x="7600950" y="1400175"/>
              <a:ext cx="0" cy="2095500"/>
            </a:xfrm>
            <a:prstGeom prst="line">
              <a:avLst/>
            </a:prstGeom>
            <a:ln w="381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9" name="ลูกศรเชื่อมต่อแบบตรง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CxnSpPr/>
        </xdr:nvCxnSpPr>
        <xdr:spPr>
          <a:xfrm>
            <a:off x="7562850" y="2419350"/>
            <a:ext cx="200025" cy="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95250</xdr:colOff>
      <xdr:row>39</xdr:row>
      <xdr:rowOff>171450</xdr:rowOff>
    </xdr:from>
    <xdr:to>
      <xdr:col>5</xdr:col>
      <xdr:colOff>466725</xdr:colOff>
      <xdr:row>47</xdr:row>
      <xdr:rowOff>228599</xdr:rowOff>
    </xdr:to>
    <xdr:grpSp>
      <xdr:nvGrpSpPr>
        <xdr:cNvPr id="33" name="กลุ่ม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pSpPr/>
      </xdr:nvGrpSpPr>
      <xdr:grpSpPr>
        <a:xfrm>
          <a:off x="6705600" y="10687050"/>
          <a:ext cx="1057275" cy="2190749"/>
          <a:chOff x="6705600" y="1400175"/>
          <a:chExt cx="1057275" cy="2095500"/>
        </a:xfrm>
      </xdr:grpSpPr>
      <xdr:grpSp>
        <xdr:nvGrpSpPr>
          <xdr:cNvPr id="34" name="กลุ่ม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GrpSpPr/>
        </xdr:nvGrpSpPr>
        <xdr:grpSpPr>
          <a:xfrm>
            <a:off x="6705600" y="1400175"/>
            <a:ext cx="885825" cy="2095500"/>
            <a:chOff x="6724650" y="1400175"/>
            <a:chExt cx="885825" cy="2095500"/>
          </a:xfrm>
        </xdr:grpSpPr>
        <xdr:cxnSp macro="">
          <xdr:nvCxnSpPr>
            <xdr:cNvPr id="36" name="ตัวเชื่อมต่อตรง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CxnSpPr/>
          </xdr:nvCxnSpPr>
          <xdr:spPr>
            <a:xfrm>
              <a:off x="6724650" y="3486150"/>
              <a:ext cx="885825" cy="0"/>
            </a:xfrm>
            <a:prstGeom prst="line">
              <a:avLst/>
            </a:prstGeom>
            <a:ln w="381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ตัวเชื่อมต่อตรง 36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CxnSpPr/>
          </xdr:nvCxnSpPr>
          <xdr:spPr>
            <a:xfrm>
              <a:off x="6724650" y="1409700"/>
              <a:ext cx="885825" cy="0"/>
            </a:xfrm>
            <a:prstGeom prst="line">
              <a:avLst/>
            </a:prstGeom>
            <a:ln w="381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ตัวเชื่อมต่อตรง 37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:cNvPr>
            <xdr:cNvCxnSpPr/>
          </xdr:nvCxnSpPr>
          <xdr:spPr>
            <a:xfrm>
              <a:off x="7600950" y="1400175"/>
              <a:ext cx="0" cy="2095500"/>
            </a:xfrm>
            <a:prstGeom prst="line">
              <a:avLst/>
            </a:prstGeom>
            <a:ln w="381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5" name="ลูกศรเชื่อมต่อแบบตรง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CxnSpPr/>
        </xdr:nvCxnSpPr>
        <xdr:spPr>
          <a:xfrm>
            <a:off x="7562850" y="2419350"/>
            <a:ext cx="200025" cy="0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38100</xdr:colOff>
      <xdr:row>1</xdr:row>
      <xdr:rowOff>104775</xdr:rowOff>
    </xdr:from>
    <xdr:to>
      <xdr:col>10</xdr:col>
      <xdr:colOff>600075</xdr:colOff>
      <xdr:row>3</xdr:row>
      <xdr:rowOff>219075</xdr:rowOff>
    </xdr:to>
    <xdr:sp macro="[0]!PrintAll" textlink="">
      <xdr:nvSpPr>
        <xdr:cNvPr id="39" name="สี่เหลี่ยมผืนผ้า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8705850" y="762000"/>
          <a:ext cx="2619375" cy="704850"/>
        </a:xfrm>
        <a:prstGeom prst="rect">
          <a:avLst/>
        </a:prstGeom>
        <a:solidFill>
          <a:srgbClr val="FF0000"/>
        </a:solidFill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2400" b="1">
              <a:latin typeface="TH SarabunPSK" panose="020B0500040200020003" pitchFamily="34" charset="-34"/>
              <a:cs typeface="TH SarabunPSK" panose="020B0500040200020003" pitchFamily="34" charset="-34"/>
            </a:rPr>
            <a:t>สั่งพิมพ์เอกสารทั้งหมด</a:t>
          </a:r>
        </a:p>
      </xdr:txBody>
    </xdr:sp>
    <xdr:clientData/>
  </xdr:twoCellAnchor>
  <xdr:twoCellAnchor>
    <xdr:from>
      <xdr:col>4</xdr:col>
      <xdr:colOff>161925</xdr:colOff>
      <xdr:row>38</xdr:row>
      <xdr:rowOff>142875</xdr:rowOff>
    </xdr:from>
    <xdr:to>
      <xdr:col>5</xdr:col>
      <xdr:colOff>561975</xdr:colOff>
      <xdr:row>38</xdr:row>
      <xdr:rowOff>142875</xdr:rowOff>
    </xdr:to>
    <xdr:cxnSp macro="">
      <xdr:nvCxnSpPr>
        <xdr:cNvPr id="40" name="ลูกศรเชื่อมต่อแบบตรง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 flipH="1">
          <a:off x="6772275" y="11934825"/>
          <a:ext cx="1085850" cy="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52917</xdr:colOff>
      <xdr:row>0</xdr:row>
      <xdr:rowOff>0</xdr:rowOff>
    </xdr:from>
    <xdr:to>
      <xdr:col>2</xdr:col>
      <xdr:colOff>161925</xdr:colOff>
      <xdr:row>2</xdr:row>
      <xdr:rowOff>46292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217" y="0"/>
          <a:ext cx="518583" cy="5415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</xdr:colOff>
      <xdr:row>5</xdr:row>
      <xdr:rowOff>85725</xdr:rowOff>
    </xdr:from>
    <xdr:to>
      <xdr:col>10</xdr:col>
      <xdr:colOff>447675</xdr:colOff>
      <xdr:row>5</xdr:row>
      <xdr:rowOff>85725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523875" y="1390650"/>
          <a:ext cx="58959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624840</xdr:colOff>
      <xdr:row>0</xdr:row>
      <xdr:rowOff>91440</xdr:rowOff>
    </xdr:from>
    <xdr:to>
      <xdr:col>5</xdr:col>
      <xdr:colOff>274320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625090" y="91440"/>
          <a:ext cx="982980" cy="10229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15240</xdr:colOff>
      <xdr:row>8</xdr:row>
      <xdr:rowOff>91440</xdr:rowOff>
    </xdr:from>
    <xdr:to>
      <xdr:col>7</xdr:col>
      <xdr:colOff>7620</xdr:colOff>
      <xdr:row>8</xdr:row>
      <xdr:rowOff>91440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1348740" y="1948815"/>
          <a:ext cx="3326130" cy="0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52917</xdr:colOff>
      <xdr:row>0</xdr:row>
      <xdr:rowOff>0</xdr:rowOff>
    </xdr:from>
    <xdr:to>
      <xdr:col>2</xdr:col>
      <xdr:colOff>161925</xdr:colOff>
      <xdr:row>2</xdr:row>
      <xdr:rowOff>46292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217" y="0"/>
          <a:ext cx="518583" cy="5415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</xdr:colOff>
      <xdr:row>5</xdr:row>
      <xdr:rowOff>85725</xdr:rowOff>
    </xdr:from>
    <xdr:to>
      <xdr:col>10</xdr:col>
      <xdr:colOff>447675</xdr:colOff>
      <xdr:row>5</xdr:row>
      <xdr:rowOff>85725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/>
      </xdr:nvCxnSpPr>
      <xdr:spPr>
        <a:xfrm>
          <a:off x="523875" y="1390650"/>
          <a:ext cx="58959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596265</xdr:colOff>
      <xdr:row>0</xdr:row>
      <xdr:rowOff>0</xdr:rowOff>
    </xdr:from>
    <xdr:to>
      <xdr:col>5</xdr:col>
      <xdr:colOff>158115</xdr:colOff>
      <xdr:row>5</xdr:row>
      <xdr:rowOff>1905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653665" y="0"/>
          <a:ext cx="933450" cy="10972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52917</xdr:colOff>
      <xdr:row>0</xdr:row>
      <xdr:rowOff>0</xdr:rowOff>
    </xdr:from>
    <xdr:to>
      <xdr:col>2</xdr:col>
      <xdr:colOff>161925</xdr:colOff>
      <xdr:row>2</xdr:row>
      <xdr:rowOff>46292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217" y="0"/>
          <a:ext cx="518583" cy="5415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</xdr:colOff>
      <xdr:row>5</xdr:row>
      <xdr:rowOff>85725</xdr:rowOff>
    </xdr:from>
    <xdr:to>
      <xdr:col>10</xdr:col>
      <xdr:colOff>447675</xdr:colOff>
      <xdr:row>5</xdr:row>
      <xdr:rowOff>85725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CxnSpPr/>
      </xdr:nvCxnSpPr>
      <xdr:spPr>
        <a:xfrm>
          <a:off x="523875" y="1390650"/>
          <a:ext cx="58959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ownloads\&#3650;&#3611;&#3619;&#3649;&#3585;&#3619;&#3617;&#3592;&#3633;&#3604;&#3595;&#3639;&#3657;&#3629;&#3592;&#3633;&#3604;&#3592;&#3657;&#3634;&#359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ตั้งค่า"/>
      <sheetName val="รายงานชื้อจ้าง"/>
      <sheetName val="เอกสารแนบท้าย"/>
      <sheetName val="รายงานผลการพิจารณา"/>
      <sheetName val="ใบสั่งื้อจ้าง"/>
      <sheetName val="ใบตรวจรับพัสดุ"/>
    </sheetNames>
    <sheetDataSet>
      <sheetData sheetId="0">
        <row r="8">
          <cell r="J8">
            <v>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topLeftCell="C1" workbookViewId="0">
      <selection activeCell="D5" sqref="D5"/>
    </sheetView>
  </sheetViews>
  <sheetFormatPr defaultColWidth="9" defaultRowHeight="21" x14ac:dyDescent="0.35"/>
  <cols>
    <col min="1" max="1" width="9" style="1"/>
    <col min="2" max="3" width="9" style="3"/>
    <col min="4" max="4" width="33.375" style="2" customWidth="1"/>
    <col min="5" max="5" width="23" style="2" customWidth="1"/>
    <col min="6" max="6" width="15.625" style="2" customWidth="1"/>
    <col min="7" max="16384" width="9" style="2"/>
  </cols>
  <sheetData>
    <row r="1" spans="1:15" x14ac:dyDescent="0.35">
      <c r="A1" s="4" t="s">
        <v>0</v>
      </c>
      <c r="B1" s="5" t="s">
        <v>1</v>
      </c>
      <c r="C1" s="5" t="s">
        <v>2</v>
      </c>
      <c r="D1" s="4" t="s">
        <v>15</v>
      </c>
      <c r="E1" s="4" t="s">
        <v>20</v>
      </c>
      <c r="F1" s="4" t="s">
        <v>67</v>
      </c>
    </row>
    <row r="2" spans="1:15" x14ac:dyDescent="0.35">
      <c r="A2" s="1">
        <v>1</v>
      </c>
      <c r="B2" s="3" t="s">
        <v>3</v>
      </c>
      <c r="C2" s="3">
        <v>2560</v>
      </c>
      <c r="D2" s="1" t="s">
        <v>16</v>
      </c>
      <c r="E2" s="1">
        <v>60</v>
      </c>
      <c r="F2" s="1" t="s">
        <v>68</v>
      </c>
    </row>
    <row r="3" spans="1:15" ht="24" customHeight="1" x14ac:dyDescent="0.35">
      <c r="A3" s="1">
        <v>2</v>
      </c>
      <c r="B3" s="3" t="s">
        <v>4</v>
      </c>
      <c r="C3" s="3">
        <v>2561</v>
      </c>
      <c r="D3" s="1" t="s">
        <v>17</v>
      </c>
      <c r="E3" s="1">
        <v>61</v>
      </c>
      <c r="F3" s="1" t="s">
        <v>69</v>
      </c>
      <c r="H3" s="78" t="s">
        <v>161</v>
      </c>
      <c r="I3" s="79"/>
      <c r="J3" s="79"/>
      <c r="K3" s="79"/>
      <c r="L3" s="79"/>
      <c r="M3" s="79"/>
      <c r="N3" s="79"/>
      <c r="O3" s="80"/>
    </row>
    <row r="4" spans="1:15" ht="24" customHeight="1" x14ac:dyDescent="0.35">
      <c r="A4" s="1">
        <v>3</v>
      </c>
      <c r="B4" s="3" t="s">
        <v>5</v>
      </c>
      <c r="C4" s="3">
        <v>2562</v>
      </c>
      <c r="D4" s="1" t="s">
        <v>18</v>
      </c>
      <c r="E4" s="1">
        <v>62</v>
      </c>
      <c r="F4" s="1" t="s">
        <v>70</v>
      </c>
      <c r="H4" s="81"/>
      <c r="I4" s="82"/>
      <c r="J4" s="82"/>
      <c r="K4" s="82"/>
      <c r="L4" s="82"/>
      <c r="M4" s="82"/>
      <c r="N4" s="82"/>
      <c r="O4" s="83"/>
    </row>
    <row r="5" spans="1:15" ht="24" customHeight="1" x14ac:dyDescent="0.35">
      <c r="A5" s="1">
        <v>4</v>
      </c>
      <c r="B5" s="3" t="s">
        <v>6</v>
      </c>
      <c r="C5" s="3">
        <v>2563</v>
      </c>
      <c r="D5" s="1" t="s">
        <v>19</v>
      </c>
      <c r="E5" s="1">
        <v>63</v>
      </c>
      <c r="F5" s="1" t="s">
        <v>73</v>
      </c>
      <c r="H5" s="84"/>
      <c r="I5" s="85"/>
      <c r="J5" s="85"/>
      <c r="K5" s="85"/>
      <c r="L5" s="85"/>
      <c r="M5" s="85"/>
      <c r="N5" s="85"/>
      <c r="O5" s="86"/>
    </row>
    <row r="6" spans="1:15" x14ac:dyDescent="0.35">
      <c r="A6" s="1">
        <v>5</v>
      </c>
      <c r="B6" s="3" t="s">
        <v>7</v>
      </c>
      <c r="C6" s="3">
        <v>2564</v>
      </c>
      <c r="E6" s="1">
        <v>64</v>
      </c>
      <c r="F6" s="1" t="s">
        <v>71</v>
      </c>
    </row>
    <row r="7" spans="1:15" x14ac:dyDescent="0.35">
      <c r="A7" s="1">
        <v>6</v>
      </c>
      <c r="B7" s="3" t="s">
        <v>8</v>
      </c>
      <c r="C7" s="3">
        <v>2565</v>
      </c>
      <c r="E7" s="1">
        <v>65</v>
      </c>
      <c r="F7" s="1" t="s">
        <v>72</v>
      </c>
      <c r="H7" s="87" t="s">
        <v>169</v>
      </c>
      <c r="I7" s="88"/>
      <c r="J7" s="88"/>
      <c r="K7" s="88"/>
      <c r="L7" s="88"/>
      <c r="M7" s="88"/>
      <c r="N7" s="88"/>
      <c r="O7" s="89"/>
    </row>
    <row r="8" spans="1:15" x14ac:dyDescent="0.35">
      <c r="A8" s="1">
        <v>7</v>
      </c>
      <c r="B8" s="3" t="s">
        <v>9</v>
      </c>
      <c r="C8" s="3">
        <v>2566</v>
      </c>
      <c r="E8" s="1">
        <v>66</v>
      </c>
      <c r="H8" s="90"/>
      <c r="I8" s="91"/>
      <c r="J8" s="91"/>
      <c r="K8" s="91"/>
      <c r="L8" s="91"/>
      <c r="M8" s="91"/>
      <c r="N8" s="91"/>
      <c r="O8" s="92"/>
    </row>
    <row r="9" spans="1:15" x14ac:dyDescent="0.35">
      <c r="A9" s="1">
        <v>8</v>
      </c>
      <c r="B9" s="3" t="s">
        <v>10</v>
      </c>
      <c r="C9" s="3">
        <v>2567</v>
      </c>
      <c r="E9" s="1">
        <v>67</v>
      </c>
      <c r="H9" s="90"/>
      <c r="I9" s="91"/>
      <c r="J9" s="91"/>
      <c r="K9" s="91"/>
      <c r="L9" s="91"/>
      <c r="M9" s="91"/>
      <c r="N9" s="91"/>
      <c r="O9" s="92"/>
    </row>
    <row r="10" spans="1:15" x14ac:dyDescent="0.35">
      <c r="A10" s="1">
        <v>9</v>
      </c>
      <c r="B10" s="3" t="s">
        <v>11</v>
      </c>
      <c r="C10" s="3">
        <v>2568</v>
      </c>
      <c r="E10" s="1">
        <v>68</v>
      </c>
      <c r="H10" s="90"/>
      <c r="I10" s="91"/>
      <c r="J10" s="91"/>
      <c r="K10" s="91"/>
      <c r="L10" s="91"/>
      <c r="M10" s="91"/>
      <c r="N10" s="91"/>
      <c r="O10" s="92"/>
    </row>
    <row r="11" spans="1:15" x14ac:dyDescent="0.35">
      <c r="A11" s="1">
        <v>10</v>
      </c>
      <c r="B11" s="3" t="s">
        <v>12</v>
      </c>
      <c r="C11" s="3">
        <v>2569</v>
      </c>
      <c r="E11" s="1">
        <v>69</v>
      </c>
      <c r="H11" s="90"/>
      <c r="I11" s="91"/>
      <c r="J11" s="91"/>
      <c r="K11" s="91"/>
      <c r="L11" s="91"/>
      <c r="M11" s="91"/>
      <c r="N11" s="91"/>
      <c r="O11" s="92"/>
    </row>
    <row r="12" spans="1:15" x14ac:dyDescent="0.35">
      <c r="A12" s="1">
        <v>11</v>
      </c>
      <c r="B12" s="3" t="s">
        <v>13</v>
      </c>
      <c r="C12" s="3">
        <v>2570</v>
      </c>
      <c r="E12" s="1">
        <v>70</v>
      </c>
      <c r="H12" s="90"/>
      <c r="I12" s="91"/>
      <c r="J12" s="91"/>
      <c r="K12" s="91"/>
      <c r="L12" s="91"/>
      <c r="M12" s="91"/>
      <c r="N12" s="91"/>
      <c r="O12" s="92"/>
    </row>
    <row r="13" spans="1:15" x14ac:dyDescent="0.35">
      <c r="A13" s="1">
        <v>12</v>
      </c>
      <c r="B13" s="3" t="s">
        <v>14</v>
      </c>
      <c r="C13" s="3">
        <v>2571</v>
      </c>
      <c r="E13" s="1">
        <v>71</v>
      </c>
      <c r="H13" s="90"/>
      <c r="I13" s="91"/>
      <c r="J13" s="91"/>
      <c r="K13" s="91"/>
      <c r="L13" s="91"/>
      <c r="M13" s="91"/>
      <c r="N13" s="91"/>
      <c r="O13" s="92"/>
    </row>
    <row r="14" spans="1:15" x14ac:dyDescent="0.35">
      <c r="A14" s="1">
        <v>13</v>
      </c>
      <c r="H14" s="90"/>
      <c r="I14" s="91"/>
      <c r="J14" s="91"/>
      <c r="K14" s="91"/>
      <c r="L14" s="91"/>
      <c r="M14" s="91"/>
      <c r="N14" s="91"/>
      <c r="O14" s="92"/>
    </row>
    <row r="15" spans="1:15" x14ac:dyDescent="0.35">
      <c r="A15" s="1">
        <v>14</v>
      </c>
      <c r="H15" s="93"/>
      <c r="I15" s="94"/>
      <c r="J15" s="94"/>
      <c r="K15" s="94"/>
      <c r="L15" s="94"/>
      <c r="M15" s="94"/>
      <c r="N15" s="94"/>
      <c r="O15" s="95"/>
    </row>
    <row r="16" spans="1:15" x14ac:dyDescent="0.35">
      <c r="A16" s="1">
        <v>15</v>
      </c>
    </row>
    <row r="17" spans="1:1" x14ac:dyDescent="0.35">
      <c r="A17" s="1">
        <v>16</v>
      </c>
    </row>
    <row r="18" spans="1:1" x14ac:dyDescent="0.35">
      <c r="A18" s="1">
        <v>17</v>
      </c>
    </row>
    <row r="19" spans="1:1" x14ac:dyDescent="0.35">
      <c r="A19" s="1">
        <v>18</v>
      </c>
    </row>
    <row r="20" spans="1:1" x14ac:dyDescent="0.35">
      <c r="A20" s="1">
        <v>19</v>
      </c>
    </row>
    <row r="21" spans="1:1" x14ac:dyDescent="0.35">
      <c r="A21" s="1">
        <v>20</v>
      </c>
    </row>
    <row r="22" spans="1:1" x14ac:dyDescent="0.35">
      <c r="A22" s="1">
        <v>21</v>
      </c>
    </row>
    <row r="23" spans="1:1" x14ac:dyDescent="0.35">
      <c r="A23" s="1">
        <v>22</v>
      </c>
    </row>
    <row r="24" spans="1:1" x14ac:dyDescent="0.35">
      <c r="A24" s="1">
        <v>23</v>
      </c>
    </row>
    <row r="25" spans="1:1" x14ac:dyDescent="0.35">
      <c r="A25" s="1">
        <v>24</v>
      </c>
    </row>
    <row r="26" spans="1:1" x14ac:dyDescent="0.35">
      <c r="A26" s="1">
        <v>25</v>
      </c>
    </row>
    <row r="27" spans="1:1" x14ac:dyDescent="0.35">
      <c r="A27" s="1">
        <v>26</v>
      </c>
    </row>
    <row r="28" spans="1:1" x14ac:dyDescent="0.35">
      <c r="A28" s="1">
        <v>27</v>
      </c>
    </row>
    <row r="29" spans="1:1" x14ac:dyDescent="0.35">
      <c r="A29" s="1">
        <v>28</v>
      </c>
    </row>
    <row r="30" spans="1:1" x14ac:dyDescent="0.35">
      <c r="A30" s="1">
        <v>29</v>
      </c>
    </row>
    <row r="31" spans="1:1" x14ac:dyDescent="0.35">
      <c r="A31" s="1">
        <v>30</v>
      </c>
    </row>
    <row r="32" spans="1:1" x14ac:dyDescent="0.35">
      <c r="A32" s="1">
        <v>31</v>
      </c>
    </row>
  </sheetData>
  <mergeCells count="2">
    <mergeCell ref="H3:O5"/>
    <mergeCell ref="H7:O1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52"/>
  <sheetViews>
    <sheetView zoomScale="85" zoomScaleNormal="85" workbookViewId="0">
      <selection activeCell="C32" sqref="C32"/>
    </sheetView>
  </sheetViews>
  <sheetFormatPr defaultColWidth="9" defaultRowHeight="21" x14ac:dyDescent="0.35"/>
  <cols>
    <col min="1" max="1" width="9" style="1"/>
    <col min="2" max="2" width="11.875" style="2" customWidth="1"/>
    <col min="3" max="3" width="38.25" style="2" customWidth="1"/>
    <col min="4" max="4" width="25.875" style="2" customWidth="1"/>
    <col min="5" max="5" width="19.375" style="2" customWidth="1"/>
    <col min="6" max="6" width="39.75" style="2" customWidth="1"/>
    <col min="7" max="7" width="36.5" style="2" customWidth="1"/>
    <col min="8" max="16384" width="9" style="2"/>
  </cols>
  <sheetData>
    <row r="1" spans="1:7" ht="26.25" x14ac:dyDescent="0.35">
      <c r="A1" s="96" t="str">
        <f>"รายการงานที่จะจ้างประจำปีงบประมาณ"</f>
        <v>รายการงานที่จะจ้างประจำปีงบประมาณ</v>
      </c>
      <c r="B1" s="96"/>
      <c r="C1" s="96"/>
      <c r="D1" s="96"/>
      <c r="E1" s="96"/>
      <c r="F1" s="96"/>
      <c r="G1" s="96"/>
    </row>
    <row r="2" spans="1:7" x14ac:dyDescent="0.35">
      <c r="A2" s="6" t="s">
        <v>21</v>
      </c>
      <c r="B2" s="6" t="s">
        <v>22</v>
      </c>
      <c r="C2" s="6" t="s">
        <v>23</v>
      </c>
      <c r="D2" s="6" t="s">
        <v>24</v>
      </c>
      <c r="E2" s="6" t="s">
        <v>25</v>
      </c>
      <c r="F2" s="6" t="s">
        <v>26</v>
      </c>
      <c r="G2" s="6" t="s">
        <v>47</v>
      </c>
    </row>
    <row r="3" spans="1:7" x14ac:dyDescent="0.35">
      <c r="A3" s="7">
        <v>1</v>
      </c>
      <c r="B3" s="7">
        <v>10001</v>
      </c>
      <c r="C3" s="8" t="s">
        <v>213</v>
      </c>
      <c r="D3" s="7" t="s">
        <v>16</v>
      </c>
      <c r="E3" s="9">
        <v>9153</v>
      </c>
      <c r="F3" s="8" t="s">
        <v>178</v>
      </c>
      <c r="G3" s="8" t="s">
        <v>210</v>
      </c>
    </row>
    <row r="4" spans="1:7" x14ac:dyDescent="0.35">
      <c r="A4" s="7">
        <v>2</v>
      </c>
      <c r="B4" s="7">
        <v>10002</v>
      </c>
      <c r="C4" s="8" t="s">
        <v>223</v>
      </c>
      <c r="D4" s="7" t="s">
        <v>16</v>
      </c>
      <c r="E4" s="9">
        <v>3350</v>
      </c>
      <c r="F4" s="8" t="s">
        <v>222</v>
      </c>
      <c r="G4" s="8" t="s">
        <v>210</v>
      </c>
    </row>
    <row r="5" spans="1:7" x14ac:dyDescent="0.35">
      <c r="A5" s="7">
        <v>3</v>
      </c>
      <c r="B5" s="7">
        <v>10003</v>
      </c>
      <c r="C5" s="8"/>
      <c r="D5" s="7" t="s">
        <v>15</v>
      </c>
      <c r="E5" s="9">
        <v>0</v>
      </c>
      <c r="F5" s="8"/>
      <c r="G5" s="8"/>
    </row>
    <row r="6" spans="1:7" x14ac:dyDescent="0.35">
      <c r="A6" s="7">
        <v>4</v>
      </c>
      <c r="B6" s="7">
        <v>10004</v>
      </c>
      <c r="C6" s="8"/>
      <c r="D6" s="7" t="s">
        <v>15</v>
      </c>
      <c r="E6" s="9">
        <v>0</v>
      </c>
      <c r="F6" s="8"/>
      <c r="G6" s="8"/>
    </row>
    <row r="7" spans="1:7" x14ac:dyDescent="0.35">
      <c r="A7" s="7">
        <v>5</v>
      </c>
      <c r="B7" s="7">
        <v>10005</v>
      </c>
      <c r="C7" s="8"/>
      <c r="D7" s="7" t="s">
        <v>15</v>
      </c>
      <c r="E7" s="9">
        <v>0</v>
      </c>
      <c r="F7" s="8"/>
      <c r="G7" s="8"/>
    </row>
    <row r="8" spans="1:7" x14ac:dyDescent="0.35">
      <c r="A8" s="7">
        <v>6</v>
      </c>
      <c r="B8" s="7">
        <v>10006</v>
      </c>
      <c r="C8" s="8"/>
      <c r="D8" s="7" t="s">
        <v>15</v>
      </c>
      <c r="E8" s="9">
        <v>0</v>
      </c>
      <c r="F8" s="8"/>
      <c r="G8" s="8"/>
    </row>
    <row r="9" spans="1:7" x14ac:dyDescent="0.35">
      <c r="A9" s="7">
        <v>7</v>
      </c>
      <c r="B9" s="7">
        <v>10007</v>
      </c>
      <c r="C9" s="8"/>
      <c r="D9" s="7" t="s">
        <v>15</v>
      </c>
      <c r="E9" s="9">
        <v>0</v>
      </c>
      <c r="F9" s="8"/>
      <c r="G9" s="8"/>
    </row>
    <row r="10" spans="1:7" x14ac:dyDescent="0.35">
      <c r="A10" s="7">
        <v>8</v>
      </c>
      <c r="B10" s="7">
        <v>10008</v>
      </c>
      <c r="C10" s="8"/>
      <c r="D10" s="7" t="s">
        <v>15</v>
      </c>
      <c r="E10" s="9">
        <v>0</v>
      </c>
      <c r="F10" s="8"/>
      <c r="G10" s="8"/>
    </row>
    <row r="11" spans="1:7" x14ac:dyDescent="0.35">
      <c r="A11" s="7">
        <v>9</v>
      </c>
      <c r="B11" s="7">
        <v>10009</v>
      </c>
      <c r="C11" s="8"/>
      <c r="D11" s="7" t="s">
        <v>15</v>
      </c>
      <c r="E11" s="9">
        <v>0</v>
      </c>
      <c r="F11" s="8"/>
      <c r="G11" s="8"/>
    </row>
    <row r="12" spans="1:7" x14ac:dyDescent="0.35">
      <c r="A12" s="7">
        <v>10</v>
      </c>
      <c r="B12" s="7">
        <v>10010</v>
      </c>
      <c r="C12" s="8"/>
      <c r="D12" s="7" t="s">
        <v>15</v>
      </c>
      <c r="E12" s="9">
        <v>0</v>
      </c>
      <c r="F12" s="8"/>
      <c r="G12" s="8"/>
    </row>
    <row r="13" spans="1:7" x14ac:dyDescent="0.35">
      <c r="A13" s="7">
        <v>11</v>
      </c>
      <c r="B13" s="7">
        <v>10011</v>
      </c>
      <c r="C13" s="8"/>
      <c r="D13" s="7" t="s">
        <v>15</v>
      </c>
      <c r="E13" s="9">
        <v>0</v>
      </c>
      <c r="F13" s="8"/>
      <c r="G13" s="8"/>
    </row>
    <row r="14" spans="1:7" x14ac:dyDescent="0.35">
      <c r="A14" s="7">
        <v>12</v>
      </c>
      <c r="B14" s="7">
        <v>10012</v>
      </c>
      <c r="C14" s="8"/>
      <c r="D14" s="7" t="s">
        <v>15</v>
      </c>
      <c r="E14" s="9">
        <v>0</v>
      </c>
      <c r="F14" s="8"/>
      <c r="G14" s="8"/>
    </row>
    <row r="15" spans="1:7" x14ac:dyDescent="0.35">
      <c r="A15" s="7">
        <v>13</v>
      </c>
      <c r="B15" s="7">
        <v>10013</v>
      </c>
      <c r="C15" s="8"/>
      <c r="D15" s="7" t="s">
        <v>15</v>
      </c>
      <c r="E15" s="9">
        <v>0</v>
      </c>
      <c r="F15" s="8"/>
      <c r="G15" s="8"/>
    </row>
    <row r="16" spans="1:7" x14ac:dyDescent="0.35">
      <c r="A16" s="7">
        <v>14</v>
      </c>
      <c r="B16" s="7">
        <v>10014</v>
      </c>
      <c r="C16" s="8"/>
      <c r="D16" s="7" t="s">
        <v>15</v>
      </c>
      <c r="E16" s="9">
        <v>0</v>
      </c>
      <c r="F16" s="8"/>
      <c r="G16" s="8"/>
    </row>
    <row r="17" spans="1:7" x14ac:dyDescent="0.35">
      <c r="A17" s="7">
        <v>15</v>
      </c>
      <c r="B17" s="7">
        <v>10015</v>
      </c>
      <c r="C17" s="8"/>
      <c r="D17" s="7" t="s">
        <v>15</v>
      </c>
      <c r="E17" s="9">
        <v>0</v>
      </c>
      <c r="F17" s="8"/>
      <c r="G17" s="8"/>
    </row>
    <row r="18" spans="1:7" x14ac:dyDescent="0.35">
      <c r="A18" s="7">
        <v>16</v>
      </c>
      <c r="B18" s="7">
        <v>10016</v>
      </c>
      <c r="C18" s="8"/>
      <c r="D18" s="7" t="s">
        <v>15</v>
      </c>
      <c r="E18" s="9">
        <v>0</v>
      </c>
      <c r="F18" s="8"/>
      <c r="G18" s="8"/>
    </row>
    <row r="19" spans="1:7" x14ac:dyDescent="0.35">
      <c r="A19" s="7">
        <v>17</v>
      </c>
      <c r="B19" s="7">
        <v>10017</v>
      </c>
      <c r="C19" s="8"/>
      <c r="D19" s="7" t="s">
        <v>15</v>
      </c>
      <c r="E19" s="9">
        <v>0</v>
      </c>
      <c r="F19" s="8"/>
      <c r="G19" s="8"/>
    </row>
    <row r="20" spans="1:7" x14ac:dyDescent="0.35">
      <c r="A20" s="7">
        <v>18</v>
      </c>
      <c r="B20" s="7">
        <v>10018</v>
      </c>
      <c r="C20" s="8"/>
      <c r="D20" s="7" t="s">
        <v>15</v>
      </c>
      <c r="E20" s="9">
        <v>0</v>
      </c>
      <c r="F20" s="8"/>
      <c r="G20" s="8"/>
    </row>
    <row r="21" spans="1:7" x14ac:dyDescent="0.35">
      <c r="A21" s="7">
        <v>19</v>
      </c>
      <c r="B21" s="7">
        <v>10019</v>
      </c>
      <c r="C21" s="8"/>
      <c r="D21" s="7" t="s">
        <v>15</v>
      </c>
      <c r="E21" s="9">
        <v>0</v>
      </c>
      <c r="F21" s="8"/>
      <c r="G21" s="8"/>
    </row>
    <row r="22" spans="1:7" x14ac:dyDescent="0.35">
      <c r="A22" s="7">
        <v>20</v>
      </c>
      <c r="B22" s="7">
        <v>10020</v>
      </c>
      <c r="C22" s="8"/>
      <c r="D22" s="7" t="s">
        <v>15</v>
      </c>
      <c r="E22" s="9">
        <v>0</v>
      </c>
      <c r="F22" s="8"/>
      <c r="G22" s="8"/>
    </row>
    <row r="23" spans="1:7" x14ac:dyDescent="0.35">
      <c r="A23" s="7">
        <v>21</v>
      </c>
      <c r="B23" s="7">
        <v>10021</v>
      </c>
      <c r="C23" s="8"/>
      <c r="D23" s="7" t="s">
        <v>15</v>
      </c>
      <c r="E23" s="9">
        <v>0</v>
      </c>
      <c r="F23" s="8"/>
      <c r="G23" s="8"/>
    </row>
    <row r="24" spans="1:7" x14ac:dyDescent="0.35">
      <c r="A24" s="7">
        <v>22</v>
      </c>
      <c r="B24" s="7">
        <v>10022</v>
      </c>
      <c r="C24" s="8"/>
      <c r="D24" s="7" t="s">
        <v>15</v>
      </c>
      <c r="E24" s="9">
        <v>0</v>
      </c>
      <c r="F24" s="8"/>
      <c r="G24" s="8"/>
    </row>
    <row r="25" spans="1:7" x14ac:dyDescent="0.35">
      <c r="A25" s="7">
        <v>23</v>
      </c>
      <c r="B25" s="7">
        <v>10023</v>
      </c>
      <c r="C25" s="8"/>
      <c r="D25" s="7" t="s">
        <v>15</v>
      </c>
      <c r="E25" s="9">
        <v>0</v>
      </c>
      <c r="F25" s="8"/>
      <c r="G25" s="8"/>
    </row>
    <row r="26" spans="1:7" x14ac:dyDescent="0.35">
      <c r="A26" s="7">
        <v>24</v>
      </c>
      <c r="B26" s="7">
        <v>10024</v>
      </c>
      <c r="C26" s="8"/>
      <c r="D26" s="7" t="s">
        <v>15</v>
      </c>
      <c r="E26" s="9">
        <v>0</v>
      </c>
      <c r="F26" s="8"/>
      <c r="G26" s="8"/>
    </row>
    <row r="27" spans="1:7" x14ac:dyDescent="0.35">
      <c r="A27" s="7">
        <v>25</v>
      </c>
      <c r="B27" s="7">
        <v>10025</v>
      </c>
      <c r="C27" s="8"/>
      <c r="D27" s="7" t="s">
        <v>15</v>
      </c>
      <c r="E27" s="9">
        <v>0</v>
      </c>
      <c r="F27" s="8"/>
      <c r="G27" s="8"/>
    </row>
    <row r="28" spans="1:7" x14ac:dyDescent="0.35">
      <c r="A28" s="7">
        <v>26</v>
      </c>
      <c r="B28" s="7">
        <v>10026</v>
      </c>
      <c r="C28" s="8"/>
      <c r="D28" s="7" t="s">
        <v>15</v>
      </c>
      <c r="E28" s="9">
        <v>0</v>
      </c>
      <c r="F28" s="8"/>
      <c r="G28" s="8"/>
    </row>
    <row r="29" spans="1:7" x14ac:dyDescent="0.35">
      <c r="A29" s="7">
        <v>27</v>
      </c>
      <c r="B29" s="7">
        <v>10027</v>
      </c>
      <c r="C29" s="8"/>
      <c r="D29" s="7" t="s">
        <v>15</v>
      </c>
      <c r="E29" s="9">
        <v>0</v>
      </c>
      <c r="F29" s="8"/>
      <c r="G29" s="8"/>
    </row>
    <row r="30" spans="1:7" x14ac:dyDescent="0.35">
      <c r="A30" s="7">
        <v>28</v>
      </c>
      <c r="B30" s="7">
        <v>10028</v>
      </c>
      <c r="C30" s="8"/>
      <c r="D30" s="7" t="s">
        <v>15</v>
      </c>
      <c r="E30" s="9">
        <v>0</v>
      </c>
      <c r="F30" s="8"/>
      <c r="G30" s="8"/>
    </row>
    <row r="31" spans="1:7" x14ac:dyDescent="0.35">
      <c r="A31" s="7">
        <v>29</v>
      </c>
      <c r="B31" s="7">
        <v>10029</v>
      </c>
      <c r="C31" s="8"/>
      <c r="D31" s="7" t="s">
        <v>15</v>
      </c>
      <c r="E31" s="9">
        <v>0</v>
      </c>
      <c r="F31" s="8"/>
      <c r="G31" s="8"/>
    </row>
    <row r="32" spans="1:7" x14ac:dyDescent="0.35">
      <c r="A32" s="7">
        <v>30</v>
      </c>
      <c r="B32" s="7">
        <v>10030</v>
      </c>
      <c r="C32" s="8"/>
      <c r="D32" s="7" t="s">
        <v>15</v>
      </c>
      <c r="E32" s="9">
        <v>0</v>
      </c>
      <c r="F32" s="8"/>
      <c r="G32" s="8"/>
    </row>
    <row r="33" spans="1:7" x14ac:dyDescent="0.35">
      <c r="A33" s="7">
        <v>31</v>
      </c>
      <c r="B33" s="7">
        <v>10031</v>
      </c>
      <c r="C33" s="8"/>
      <c r="D33" s="7" t="s">
        <v>15</v>
      </c>
      <c r="E33" s="9">
        <v>0</v>
      </c>
      <c r="F33" s="8"/>
      <c r="G33" s="8"/>
    </row>
    <row r="34" spans="1:7" x14ac:dyDescent="0.35">
      <c r="A34" s="7">
        <v>32</v>
      </c>
      <c r="B34" s="7">
        <v>10032</v>
      </c>
      <c r="C34" s="8"/>
      <c r="D34" s="7" t="s">
        <v>15</v>
      </c>
      <c r="E34" s="9">
        <v>0</v>
      </c>
      <c r="F34" s="8"/>
      <c r="G34" s="8"/>
    </row>
    <row r="35" spans="1:7" x14ac:dyDescent="0.35">
      <c r="A35" s="7">
        <v>33</v>
      </c>
      <c r="B35" s="7">
        <v>10033</v>
      </c>
      <c r="C35" s="8"/>
      <c r="D35" s="7" t="s">
        <v>15</v>
      </c>
      <c r="E35" s="9">
        <v>0</v>
      </c>
      <c r="F35" s="8"/>
      <c r="G35" s="8"/>
    </row>
    <row r="36" spans="1:7" x14ac:dyDescent="0.35">
      <c r="A36" s="7">
        <v>34</v>
      </c>
      <c r="B36" s="7">
        <v>10034</v>
      </c>
      <c r="C36" s="8"/>
      <c r="D36" s="7" t="s">
        <v>15</v>
      </c>
      <c r="E36" s="9">
        <v>0</v>
      </c>
      <c r="F36" s="8"/>
      <c r="G36" s="8"/>
    </row>
    <row r="37" spans="1:7" x14ac:dyDescent="0.35">
      <c r="A37" s="7">
        <v>35</v>
      </c>
      <c r="B37" s="7">
        <v>10035</v>
      </c>
      <c r="C37" s="8"/>
      <c r="D37" s="7" t="s">
        <v>15</v>
      </c>
      <c r="E37" s="9">
        <v>0</v>
      </c>
      <c r="F37" s="8"/>
      <c r="G37" s="8"/>
    </row>
    <row r="38" spans="1:7" x14ac:dyDescent="0.35">
      <c r="A38" s="7">
        <v>36</v>
      </c>
      <c r="B38" s="7">
        <v>10036</v>
      </c>
      <c r="C38" s="8"/>
      <c r="D38" s="7" t="s">
        <v>15</v>
      </c>
      <c r="E38" s="9">
        <v>0</v>
      </c>
      <c r="F38" s="8"/>
      <c r="G38" s="8"/>
    </row>
    <row r="39" spans="1:7" x14ac:dyDescent="0.35">
      <c r="A39" s="7">
        <v>37</v>
      </c>
      <c r="B39" s="7">
        <v>10037</v>
      </c>
      <c r="C39" s="8"/>
      <c r="D39" s="7" t="s">
        <v>15</v>
      </c>
      <c r="E39" s="9">
        <v>0</v>
      </c>
      <c r="F39" s="8"/>
      <c r="G39" s="8"/>
    </row>
    <row r="40" spans="1:7" x14ac:dyDescent="0.35">
      <c r="A40" s="7">
        <v>38</v>
      </c>
      <c r="B40" s="7">
        <v>10038</v>
      </c>
      <c r="C40" s="8"/>
      <c r="D40" s="7" t="s">
        <v>15</v>
      </c>
      <c r="E40" s="9">
        <v>0</v>
      </c>
      <c r="F40" s="8"/>
      <c r="G40" s="8"/>
    </row>
    <row r="41" spans="1:7" x14ac:dyDescent="0.35">
      <c r="A41" s="7">
        <v>39</v>
      </c>
      <c r="B41" s="7">
        <v>10039</v>
      </c>
      <c r="C41" s="8"/>
      <c r="D41" s="7" t="s">
        <v>15</v>
      </c>
      <c r="E41" s="9">
        <v>0</v>
      </c>
      <c r="F41" s="8"/>
      <c r="G41" s="8"/>
    </row>
    <row r="42" spans="1:7" x14ac:dyDescent="0.35">
      <c r="A42" s="7">
        <v>40</v>
      </c>
      <c r="B42" s="7">
        <v>10040</v>
      </c>
      <c r="C42" s="8"/>
      <c r="D42" s="7" t="s">
        <v>15</v>
      </c>
      <c r="E42" s="9">
        <v>0</v>
      </c>
      <c r="F42" s="8"/>
      <c r="G42" s="8"/>
    </row>
    <row r="43" spans="1:7" x14ac:dyDescent="0.35">
      <c r="A43" s="7">
        <v>41</v>
      </c>
      <c r="B43" s="7">
        <v>10041</v>
      </c>
      <c r="C43" s="8"/>
      <c r="D43" s="7" t="s">
        <v>15</v>
      </c>
      <c r="E43" s="9">
        <v>0</v>
      </c>
      <c r="F43" s="8"/>
      <c r="G43" s="8"/>
    </row>
    <row r="44" spans="1:7" x14ac:dyDescent="0.35">
      <c r="A44" s="7">
        <v>42</v>
      </c>
      <c r="B44" s="7">
        <v>10042</v>
      </c>
      <c r="C44" s="8"/>
      <c r="D44" s="7" t="s">
        <v>15</v>
      </c>
      <c r="E44" s="9">
        <v>0</v>
      </c>
      <c r="F44" s="8"/>
      <c r="G44" s="8"/>
    </row>
    <row r="45" spans="1:7" x14ac:dyDescent="0.35">
      <c r="A45" s="7">
        <v>43</v>
      </c>
      <c r="B45" s="7">
        <v>10043</v>
      </c>
      <c r="C45" s="8"/>
      <c r="D45" s="7" t="s">
        <v>15</v>
      </c>
      <c r="E45" s="9">
        <v>0</v>
      </c>
      <c r="F45" s="8"/>
      <c r="G45" s="8"/>
    </row>
    <row r="46" spans="1:7" x14ac:dyDescent="0.35">
      <c r="A46" s="7">
        <v>44</v>
      </c>
      <c r="B46" s="7">
        <v>10044</v>
      </c>
      <c r="C46" s="8"/>
      <c r="D46" s="7" t="s">
        <v>15</v>
      </c>
      <c r="E46" s="9">
        <v>0</v>
      </c>
      <c r="F46" s="8"/>
      <c r="G46" s="8"/>
    </row>
    <row r="47" spans="1:7" x14ac:dyDescent="0.35">
      <c r="A47" s="7">
        <v>45</v>
      </c>
      <c r="B47" s="7">
        <v>10045</v>
      </c>
      <c r="C47" s="8"/>
      <c r="D47" s="7" t="s">
        <v>15</v>
      </c>
      <c r="E47" s="9">
        <v>0</v>
      </c>
      <c r="F47" s="8"/>
      <c r="G47" s="8"/>
    </row>
    <row r="48" spans="1:7" x14ac:dyDescent="0.35">
      <c r="A48" s="7">
        <v>46</v>
      </c>
      <c r="B48" s="7">
        <v>10046</v>
      </c>
      <c r="C48" s="8"/>
      <c r="D48" s="7" t="s">
        <v>15</v>
      </c>
      <c r="E48" s="9">
        <v>0</v>
      </c>
      <c r="F48" s="8"/>
      <c r="G48" s="8"/>
    </row>
    <row r="49" spans="1:7" x14ac:dyDescent="0.35">
      <c r="A49" s="7">
        <v>47</v>
      </c>
      <c r="B49" s="7">
        <v>10047</v>
      </c>
      <c r="C49" s="8"/>
      <c r="D49" s="7" t="s">
        <v>15</v>
      </c>
      <c r="E49" s="9">
        <v>0</v>
      </c>
      <c r="F49" s="8"/>
      <c r="G49" s="8"/>
    </row>
    <row r="50" spans="1:7" x14ac:dyDescent="0.35">
      <c r="A50" s="7">
        <v>48</v>
      </c>
      <c r="B50" s="7">
        <v>10048</v>
      </c>
      <c r="C50" s="8"/>
      <c r="D50" s="7" t="s">
        <v>15</v>
      </c>
      <c r="E50" s="9">
        <v>0</v>
      </c>
      <c r="F50" s="8"/>
      <c r="G50" s="8"/>
    </row>
    <row r="51" spans="1:7" x14ac:dyDescent="0.35">
      <c r="A51" s="7">
        <v>49</v>
      </c>
      <c r="B51" s="7">
        <v>10049</v>
      </c>
      <c r="C51" s="8"/>
      <c r="D51" s="7" t="s">
        <v>15</v>
      </c>
      <c r="E51" s="9">
        <v>0</v>
      </c>
      <c r="F51" s="8"/>
      <c r="G51" s="8"/>
    </row>
    <row r="52" spans="1:7" x14ac:dyDescent="0.35">
      <c r="A52" s="7">
        <v>50</v>
      </c>
      <c r="B52" s="7">
        <v>10050</v>
      </c>
      <c r="C52" s="8"/>
      <c r="D52" s="7" t="s">
        <v>15</v>
      </c>
      <c r="E52" s="9">
        <v>0</v>
      </c>
      <c r="F52" s="8"/>
      <c r="G52" s="8"/>
    </row>
    <row r="53" spans="1:7" x14ac:dyDescent="0.35">
      <c r="A53" s="7">
        <v>51</v>
      </c>
      <c r="B53" s="7">
        <v>10051</v>
      </c>
      <c r="C53" s="8"/>
      <c r="D53" s="7" t="s">
        <v>15</v>
      </c>
      <c r="E53" s="9">
        <v>0</v>
      </c>
      <c r="F53" s="8"/>
      <c r="G53" s="8"/>
    </row>
    <row r="54" spans="1:7" x14ac:dyDescent="0.35">
      <c r="A54" s="7">
        <v>52</v>
      </c>
      <c r="B54" s="7">
        <v>10052</v>
      </c>
      <c r="C54" s="8"/>
      <c r="D54" s="7" t="s">
        <v>15</v>
      </c>
      <c r="E54" s="9">
        <v>0</v>
      </c>
      <c r="F54" s="8"/>
      <c r="G54" s="8"/>
    </row>
    <row r="55" spans="1:7" x14ac:dyDescent="0.35">
      <c r="A55" s="7">
        <v>53</v>
      </c>
      <c r="B55" s="7">
        <v>10053</v>
      </c>
      <c r="C55" s="8"/>
      <c r="D55" s="7" t="s">
        <v>15</v>
      </c>
      <c r="E55" s="9">
        <v>0</v>
      </c>
      <c r="F55" s="8"/>
      <c r="G55" s="8"/>
    </row>
    <row r="56" spans="1:7" x14ac:dyDescent="0.35">
      <c r="A56" s="7">
        <v>54</v>
      </c>
      <c r="B56" s="7">
        <v>10054</v>
      </c>
      <c r="C56" s="8"/>
      <c r="D56" s="7" t="s">
        <v>15</v>
      </c>
      <c r="E56" s="9">
        <v>0</v>
      </c>
      <c r="F56" s="8"/>
      <c r="G56" s="8"/>
    </row>
    <row r="57" spans="1:7" x14ac:dyDescent="0.35">
      <c r="A57" s="7">
        <v>55</v>
      </c>
      <c r="B57" s="7">
        <v>10055</v>
      </c>
      <c r="C57" s="8"/>
      <c r="D57" s="7" t="s">
        <v>15</v>
      </c>
      <c r="E57" s="9">
        <v>0</v>
      </c>
      <c r="F57" s="8"/>
      <c r="G57" s="8"/>
    </row>
    <row r="58" spans="1:7" x14ac:dyDescent="0.35">
      <c r="A58" s="7">
        <v>56</v>
      </c>
      <c r="B58" s="7">
        <v>10056</v>
      </c>
      <c r="C58" s="8"/>
      <c r="D58" s="7" t="s">
        <v>15</v>
      </c>
      <c r="E58" s="9">
        <v>0</v>
      </c>
      <c r="F58" s="8"/>
      <c r="G58" s="8"/>
    </row>
    <row r="59" spans="1:7" x14ac:dyDescent="0.35">
      <c r="A59" s="7">
        <v>57</v>
      </c>
      <c r="B59" s="7">
        <v>10057</v>
      </c>
      <c r="C59" s="8"/>
      <c r="D59" s="7" t="s">
        <v>15</v>
      </c>
      <c r="E59" s="9">
        <v>0</v>
      </c>
      <c r="F59" s="8"/>
      <c r="G59" s="8"/>
    </row>
    <row r="60" spans="1:7" x14ac:dyDescent="0.35">
      <c r="A60" s="7">
        <v>58</v>
      </c>
      <c r="B60" s="7">
        <v>10058</v>
      </c>
      <c r="C60" s="8"/>
      <c r="D60" s="7" t="s">
        <v>15</v>
      </c>
      <c r="E60" s="9">
        <v>0</v>
      </c>
      <c r="F60" s="8"/>
      <c r="G60" s="8"/>
    </row>
    <row r="61" spans="1:7" x14ac:dyDescent="0.35">
      <c r="A61" s="7">
        <v>59</v>
      </c>
      <c r="B61" s="7">
        <v>10059</v>
      </c>
      <c r="C61" s="8"/>
      <c r="D61" s="7" t="s">
        <v>15</v>
      </c>
      <c r="E61" s="9">
        <v>0</v>
      </c>
      <c r="F61" s="8"/>
      <c r="G61" s="8"/>
    </row>
    <row r="62" spans="1:7" x14ac:dyDescent="0.35">
      <c r="A62" s="7">
        <v>60</v>
      </c>
      <c r="B62" s="7">
        <v>10060</v>
      </c>
      <c r="C62" s="8"/>
      <c r="D62" s="7" t="s">
        <v>15</v>
      </c>
      <c r="E62" s="9">
        <v>0</v>
      </c>
      <c r="F62" s="8"/>
      <c r="G62" s="8"/>
    </row>
    <row r="63" spans="1:7" x14ac:dyDescent="0.35">
      <c r="A63" s="7">
        <v>61</v>
      </c>
      <c r="B63" s="7">
        <v>10061</v>
      </c>
      <c r="C63" s="8"/>
      <c r="D63" s="7" t="s">
        <v>15</v>
      </c>
      <c r="E63" s="9">
        <v>0</v>
      </c>
      <c r="F63" s="8"/>
      <c r="G63" s="8"/>
    </row>
    <row r="64" spans="1:7" x14ac:dyDescent="0.35">
      <c r="A64" s="7">
        <v>62</v>
      </c>
      <c r="B64" s="7">
        <v>10062</v>
      </c>
      <c r="C64" s="8"/>
      <c r="D64" s="7" t="s">
        <v>15</v>
      </c>
      <c r="E64" s="9">
        <v>0</v>
      </c>
      <c r="F64" s="8"/>
      <c r="G64" s="8"/>
    </row>
    <row r="65" spans="1:7" x14ac:dyDescent="0.35">
      <c r="A65" s="7">
        <v>63</v>
      </c>
      <c r="B65" s="7">
        <v>10063</v>
      </c>
      <c r="C65" s="8"/>
      <c r="D65" s="7" t="s">
        <v>15</v>
      </c>
      <c r="E65" s="9">
        <v>0</v>
      </c>
      <c r="F65" s="8"/>
      <c r="G65" s="8"/>
    </row>
    <row r="66" spans="1:7" x14ac:dyDescent="0.35">
      <c r="A66" s="7">
        <v>64</v>
      </c>
      <c r="B66" s="7">
        <v>10064</v>
      </c>
      <c r="C66" s="8"/>
      <c r="D66" s="7" t="s">
        <v>15</v>
      </c>
      <c r="E66" s="9">
        <v>0</v>
      </c>
      <c r="F66" s="8"/>
      <c r="G66" s="8"/>
    </row>
    <row r="67" spans="1:7" x14ac:dyDescent="0.35">
      <c r="A67" s="7">
        <v>65</v>
      </c>
      <c r="B67" s="7">
        <v>10065</v>
      </c>
      <c r="C67" s="8"/>
      <c r="D67" s="7" t="s">
        <v>15</v>
      </c>
      <c r="E67" s="9">
        <v>0</v>
      </c>
      <c r="F67" s="8"/>
      <c r="G67" s="8"/>
    </row>
    <row r="68" spans="1:7" x14ac:dyDescent="0.35">
      <c r="A68" s="7">
        <v>66</v>
      </c>
      <c r="B68" s="7">
        <v>10066</v>
      </c>
      <c r="C68" s="8"/>
      <c r="D68" s="7" t="s">
        <v>15</v>
      </c>
      <c r="E68" s="9">
        <v>0</v>
      </c>
      <c r="F68" s="8"/>
      <c r="G68" s="8"/>
    </row>
    <row r="69" spans="1:7" x14ac:dyDescent="0.35">
      <c r="A69" s="7">
        <v>67</v>
      </c>
      <c r="B69" s="7">
        <v>10067</v>
      </c>
      <c r="C69" s="8"/>
      <c r="D69" s="7" t="s">
        <v>15</v>
      </c>
      <c r="E69" s="9">
        <v>0</v>
      </c>
      <c r="F69" s="8"/>
      <c r="G69" s="8"/>
    </row>
    <row r="70" spans="1:7" x14ac:dyDescent="0.35">
      <c r="A70" s="7">
        <v>68</v>
      </c>
      <c r="B70" s="7">
        <v>10068</v>
      </c>
      <c r="C70" s="8"/>
      <c r="D70" s="7" t="s">
        <v>15</v>
      </c>
      <c r="E70" s="9">
        <v>0</v>
      </c>
      <c r="F70" s="8"/>
      <c r="G70" s="8"/>
    </row>
    <row r="71" spans="1:7" x14ac:dyDescent="0.35">
      <c r="A71" s="7">
        <v>69</v>
      </c>
      <c r="B71" s="7">
        <v>10069</v>
      </c>
      <c r="C71" s="8"/>
      <c r="D71" s="7" t="s">
        <v>15</v>
      </c>
      <c r="E71" s="9">
        <v>0</v>
      </c>
      <c r="F71" s="8"/>
      <c r="G71" s="8"/>
    </row>
    <row r="72" spans="1:7" x14ac:dyDescent="0.35">
      <c r="A72" s="7">
        <v>70</v>
      </c>
      <c r="B72" s="7">
        <v>10070</v>
      </c>
      <c r="C72" s="8"/>
      <c r="D72" s="7" t="s">
        <v>15</v>
      </c>
      <c r="E72" s="9">
        <v>0</v>
      </c>
      <c r="F72" s="8"/>
      <c r="G72" s="8"/>
    </row>
    <row r="73" spans="1:7" x14ac:dyDescent="0.35">
      <c r="A73" s="7">
        <v>71</v>
      </c>
      <c r="B73" s="7">
        <v>10071</v>
      </c>
      <c r="C73" s="8"/>
      <c r="D73" s="7" t="s">
        <v>15</v>
      </c>
      <c r="E73" s="9">
        <v>0</v>
      </c>
      <c r="F73" s="8"/>
      <c r="G73" s="8"/>
    </row>
    <row r="74" spans="1:7" x14ac:dyDescent="0.35">
      <c r="A74" s="7">
        <v>72</v>
      </c>
      <c r="B74" s="7">
        <v>10072</v>
      </c>
      <c r="C74" s="8"/>
      <c r="D74" s="7" t="s">
        <v>15</v>
      </c>
      <c r="E74" s="9">
        <v>0</v>
      </c>
      <c r="F74" s="8"/>
      <c r="G74" s="8"/>
    </row>
    <row r="75" spans="1:7" x14ac:dyDescent="0.35">
      <c r="A75" s="7">
        <v>73</v>
      </c>
      <c r="B75" s="7">
        <v>10073</v>
      </c>
      <c r="C75" s="8"/>
      <c r="D75" s="7" t="s">
        <v>15</v>
      </c>
      <c r="E75" s="9">
        <v>0</v>
      </c>
      <c r="F75" s="8"/>
      <c r="G75" s="8"/>
    </row>
    <row r="76" spans="1:7" x14ac:dyDescent="0.35">
      <c r="A76" s="7">
        <v>74</v>
      </c>
      <c r="B76" s="7">
        <v>10074</v>
      </c>
      <c r="C76" s="8"/>
      <c r="D76" s="7" t="s">
        <v>15</v>
      </c>
      <c r="E76" s="9">
        <v>0</v>
      </c>
      <c r="F76" s="8"/>
      <c r="G76" s="8"/>
    </row>
    <row r="77" spans="1:7" x14ac:dyDescent="0.35">
      <c r="A77" s="7">
        <v>75</v>
      </c>
      <c r="B77" s="7">
        <v>10075</v>
      </c>
      <c r="C77" s="8"/>
      <c r="D77" s="7" t="s">
        <v>15</v>
      </c>
      <c r="E77" s="9">
        <v>0</v>
      </c>
      <c r="F77" s="8"/>
      <c r="G77" s="8"/>
    </row>
    <row r="78" spans="1:7" x14ac:dyDescent="0.35">
      <c r="A78" s="7">
        <v>76</v>
      </c>
      <c r="B78" s="7">
        <v>10076</v>
      </c>
      <c r="C78" s="8"/>
      <c r="D78" s="7" t="s">
        <v>15</v>
      </c>
      <c r="E78" s="9">
        <v>0</v>
      </c>
      <c r="F78" s="8"/>
      <c r="G78" s="8"/>
    </row>
    <row r="79" spans="1:7" x14ac:dyDescent="0.35">
      <c r="A79" s="7">
        <v>77</v>
      </c>
      <c r="B79" s="7">
        <v>10077</v>
      </c>
      <c r="C79" s="8"/>
      <c r="D79" s="7" t="s">
        <v>15</v>
      </c>
      <c r="E79" s="9">
        <v>0</v>
      </c>
      <c r="F79" s="8"/>
      <c r="G79" s="8"/>
    </row>
    <row r="80" spans="1:7" x14ac:dyDescent="0.35">
      <c r="A80" s="7">
        <v>78</v>
      </c>
      <c r="B80" s="7">
        <v>10078</v>
      </c>
      <c r="C80" s="8"/>
      <c r="D80" s="7" t="s">
        <v>15</v>
      </c>
      <c r="E80" s="9">
        <v>0</v>
      </c>
      <c r="F80" s="8"/>
      <c r="G80" s="8"/>
    </row>
    <row r="81" spans="1:7" x14ac:dyDescent="0.35">
      <c r="A81" s="7">
        <v>79</v>
      </c>
      <c r="B81" s="7">
        <v>10079</v>
      </c>
      <c r="C81" s="8"/>
      <c r="D81" s="7" t="s">
        <v>15</v>
      </c>
      <c r="E81" s="9">
        <v>0</v>
      </c>
      <c r="F81" s="8"/>
      <c r="G81" s="8"/>
    </row>
    <row r="82" spans="1:7" x14ac:dyDescent="0.35">
      <c r="A82" s="7">
        <v>80</v>
      </c>
      <c r="B82" s="7">
        <v>10080</v>
      </c>
      <c r="C82" s="8"/>
      <c r="D82" s="7" t="s">
        <v>15</v>
      </c>
      <c r="E82" s="9">
        <v>0</v>
      </c>
      <c r="F82" s="8"/>
      <c r="G82" s="8"/>
    </row>
    <row r="83" spans="1:7" x14ac:dyDescent="0.35">
      <c r="A83" s="7">
        <v>81</v>
      </c>
      <c r="B83" s="7">
        <v>10081</v>
      </c>
      <c r="C83" s="8"/>
      <c r="D83" s="7" t="s">
        <v>15</v>
      </c>
      <c r="E83" s="9">
        <v>0</v>
      </c>
      <c r="F83" s="8"/>
      <c r="G83" s="8"/>
    </row>
    <row r="84" spans="1:7" x14ac:dyDescent="0.35">
      <c r="A84" s="7">
        <v>82</v>
      </c>
      <c r="B84" s="7">
        <v>10082</v>
      </c>
      <c r="C84" s="8"/>
      <c r="D84" s="7" t="s">
        <v>15</v>
      </c>
      <c r="E84" s="9">
        <v>0</v>
      </c>
      <c r="F84" s="8"/>
      <c r="G84" s="8"/>
    </row>
    <row r="85" spans="1:7" x14ac:dyDescent="0.35">
      <c r="A85" s="7">
        <v>83</v>
      </c>
      <c r="B85" s="7">
        <v>10083</v>
      </c>
      <c r="C85" s="8"/>
      <c r="D85" s="7" t="s">
        <v>15</v>
      </c>
      <c r="E85" s="9">
        <v>0</v>
      </c>
      <c r="F85" s="8"/>
      <c r="G85" s="8"/>
    </row>
    <row r="86" spans="1:7" x14ac:dyDescent="0.35">
      <c r="A86" s="7">
        <v>84</v>
      </c>
      <c r="B86" s="7">
        <v>10084</v>
      </c>
      <c r="C86" s="8"/>
      <c r="D86" s="7" t="s">
        <v>15</v>
      </c>
      <c r="E86" s="9">
        <v>0</v>
      </c>
      <c r="F86" s="8"/>
      <c r="G86" s="8"/>
    </row>
    <row r="87" spans="1:7" x14ac:dyDescent="0.35">
      <c r="A87" s="7">
        <v>85</v>
      </c>
      <c r="B87" s="7">
        <v>10085</v>
      </c>
      <c r="C87" s="8"/>
      <c r="D87" s="7" t="s">
        <v>15</v>
      </c>
      <c r="E87" s="9">
        <v>0</v>
      </c>
      <c r="F87" s="8"/>
      <c r="G87" s="8"/>
    </row>
    <row r="88" spans="1:7" x14ac:dyDescent="0.35">
      <c r="A88" s="7">
        <v>86</v>
      </c>
      <c r="B88" s="7">
        <v>10086</v>
      </c>
      <c r="C88" s="8"/>
      <c r="D88" s="7" t="s">
        <v>15</v>
      </c>
      <c r="E88" s="9">
        <v>0</v>
      </c>
      <c r="F88" s="8"/>
      <c r="G88" s="8"/>
    </row>
    <row r="89" spans="1:7" x14ac:dyDescent="0.35">
      <c r="A89" s="7">
        <v>87</v>
      </c>
      <c r="B89" s="7">
        <v>10087</v>
      </c>
      <c r="C89" s="8"/>
      <c r="D89" s="7" t="s">
        <v>15</v>
      </c>
      <c r="E89" s="9">
        <v>0</v>
      </c>
      <c r="F89" s="8"/>
      <c r="G89" s="8"/>
    </row>
    <row r="90" spans="1:7" x14ac:dyDescent="0.35">
      <c r="A90" s="7">
        <v>88</v>
      </c>
      <c r="B90" s="7">
        <v>10088</v>
      </c>
      <c r="C90" s="8"/>
      <c r="D90" s="7" t="s">
        <v>15</v>
      </c>
      <c r="E90" s="9">
        <v>0</v>
      </c>
      <c r="F90" s="8"/>
      <c r="G90" s="8"/>
    </row>
    <row r="91" spans="1:7" x14ac:dyDescent="0.35">
      <c r="A91" s="7">
        <v>89</v>
      </c>
      <c r="B91" s="7">
        <v>10089</v>
      </c>
      <c r="C91" s="8"/>
      <c r="D91" s="7" t="s">
        <v>15</v>
      </c>
      <c r="E91" s="9">
        <v>0</v>
      </c>
      <c r="F91" s="8"/>
      <c r="G91" s="8"/>
    </row>
    <row r="92" spans="1:7" x14ac:dyDescent="0.35">
      <c r="A92" s="7">
        <v>90</v>
      </c>
      <c r="B92" s="7">
        <v>10090</v>
      </c>
      <c r="C92" s="8"/>
      <c r="D92" s="7" t="s">
        <v>15</v>
      </c>
      <c r="E92" s="9">
        <v>0</v>
      </c>
      <c r="F92" s="8"/>
      <c r="G92" s="8"/>
    </row>
    <row r="93" spans="1:7" x14ac:dyDescent="0.35">
      <c r="A93" s="7">
        <v>91</v>
      </c>
      <c r="B93" s="7">
        <v>10091</v>
      </c>
      <c r="C93" s="8"/>
      <c r="D93" s="7" t="s">
        <v>15</v>
      </c>
      <c r="E93" s="9">
        <v>0</v>
      </c>
      <c r="F93" s="8"/>
      <c r="G93" s="8"/>
    </row>
    <row r="94" spans="1:7" x14ac:dyDescent="0.35">
      <c r="A94" s="7">
        <v>92</v>
      </c>
      <c r="B94" s="7">
        <v>10092</v>
      </c>
      <c r="C94" s="8"/>
      <c r="D94" s="7" t="s">
        <v>15</v>
      </c>
      <c r="E94" s="9">
        <v>0</v>
      </c>
      <c r="F94" s="8"/>
      <c r="G94" s="8"/>
    </row>
    <row r="95" spans="1:7" x14ac:dyDescent="0.35">
      <c r="A95" s="7">
        <v>93</v>
      </c>
      <c r="B95" s="7">
        <v>10093</v>
      </c>
      <c r="C95" s="8"/>
      <c r="D95" s="7" t="s">
        <v>15</v>
      </c>
      <c r="E95" s="9">
        <v>0</v>
      </c>
      <c r="F95" s="8"/>
      <c r="G95" s="8"/>
    </row>
    <row r="96" spans="1:7" x14ac:dyDescent="0.35">
      <c r="A96" s="7">
        <v>94</v>
      </c>
      <c r="B96" s="7">
        <v>10094</v>
      </c>
      <c r="C96" s="8"/>
      <c r="D96" s="7" t="s">
        <v>15</v>
      </c>
      <c r="E96" s="9">
        <v>0</v>
      </c>
      <c r="F96" s="8"/>
      <c r="G96" s="8"/>
    </row>
    <row r="97" spans="1:7" x14ac:dyDescent="0.35">
      <c r="A97" s="7">
        <v>95</v>
      </c>
      <c r="B97" s="7">
        <v>10095</v>
      </c>
      <c r="C97" s="8"/>
      <c r="D97" s="7" t="s">
        <v>15</v>
      </c>
      <c r="E97" s="9">
        <v>0</v>
      </c>
      <c r="F97" s="8"/>
      <c r="G97" s="8"/>
    </row>
    <row r="98" spans="1:7" x14ac:dyDescent="0.35">
      <c r="A98" s="7">
        <v>96</v>
      </c>
      <c r="B98" s="7">
        <v>10096</v>
      </c>
      <c r="C98" s="8"/>
      <c r="D98" s="7" t="s">
        <v>15</v>
      </c>
      <c r="E98" s="9">
        <v>0</v>
      </c>
      <c r="F98" s="8"/>
      <c r="G98" s="8"/>
    </row>
    <row r="99" spans="1:7" x14ac:dyDescent="0.35">
      <c r="A99" s="7">
        <v>97</v>
      </c>
      <c r="B99" s="7">
        <v>10097</v>
      </c>
      <c r="C99" s="8"/>
      <c r="D99" s="7" t="s">
        <v>15</v>
      </c>
      <c r="E99" s="9">
        <v>0</v>
      </c>
      <c r="F99" s="8"/>
      <c r="G99" s="8"/>
    </row>
    <row r="100" spans="1:7" x14ac:dyDescent="0.35">
      <c r="A100" s="7">
        <v>98</v>
      </c>
      <c r="B100" s="7">
        <v>10098</v>
      </c>
      <c r="C100" s="8"/>
      <c r="D100" s="7" t="s">
        <v>15</v>
      </c>
      <c r="E100" s="9">
        <v>0</v>
      </c>
      <c r="F100" s="8"/>
      <c r="G100" s="8"/>
    </row>
    <row r="101" spans="1:7" x14ac:dyDescent="0.35">
      <c r="A101" s="7">
        <v>99</v>
      </c>
      <c r="B101" s="7">
        <v>10099</v>
      </c>
      <c r="C101" s="8"/>
      <c r="D101" s="7" t="s">
        <v>15</v>
      </c>
      <c r="E101" s="9">
        <v>0</v>
      </c>
      <c r="F101" s="8"/>
      <c r="G101" s="8"/>
    </row>
    <row r="102" spans="1:7" x14ac:dyDescent="0.35">
      <c r="A102" s="7">
        <v>100</v>
      </c>
      <c r="B102" s="7">
        <v>10100</v>
      </c>
      <c r="C102" s="8"/>
      <c r="D102" s="7" t="s">
        <v>15</v>
      </c>
      <c r="E102" s="9">
        <v>0</v>
      </c>
      <c r="F102" s="8"/>
      <c r="G102" s="8"/>
    </row>
    <row r="103" spans="1:7" x14ac:dyDescent="0.35">
      <c r="A103" s="7">
        <v>101</v>
      </c>
      <c r="B103" s="7">
        <v>10101</v>
      </c>
      <c r="C103" s="8"/>
      <c r="D103" s="7" t="s">
        <v>15</v>
      </c>
      <c r="E103" s="9">
        <v>0</v>
      </c>
      <c r="F103" s="8"/>
      <c r="G103" s="8"/>
    </row>
    <row r="104" spans="1:7" x14ac:dyDescent="0.35">
      <c r="A104" s="7">
        <v>102</v>
      </c>
      <c r="B104" s="7">
        <v>10102</v>
      </c>
      <c r="C104" s="8"/>
      <c r="D104" s="7" t="s">
        <v>15</v>
      </c>
      <c r="E104" s="9">
        <v>0</v>
      </c>
      <c r="F104" s="8"/>
      <c r="G104" s="8"/>
    </row>
    <row r="105" spans="1:7" x14ac:dyDescent="0.35">
      <c r="A105" s="7">
        <v>103</v>
      </c>
      <c r="B105" s="7">
        <v>10103</v>
      </c>
      <c r="C105" s="8"/>
      <c r="D105" s="7" t="s">
        <v>15</v>
      </c>
      <c r="E105" s="9">
        <v>0</v>
      </c>
      <c r="F105" s="8"/>
      <c r="G105" s="8"/>
    </row>
    <row r="106" spans="1:7" x14ac:dyDescent="0.35">
      <c r="A106" s="7">
        <v>104</v>
      </c>
      <c r="B106" s="7">
        <v>10104</v>
      </c>
      <c r="C106" s="8"/>
      <c r="D106" s="7" t="s">
        <v>15</v>
      </c>
      <c r="E106" s="9">
        <v>0</v>
      </c>
      <c r="F106" s="8"/>
      <c r="G106" s="8"/>
    </row>
    <row r="107" spans="1:7" x14ac:dyDescent="0.35">
      <c r="A107" s="7">
        <v>105</v>
      </c>
      <c r="B107" s="7">
        <v>10105</v>
      </c>
      <c r="C107" s="8"/>
      <c r="D107" s="7" t="s">
        <v>15</v>
      </c>
      <c r="E107" s="9">
        <v>0</v>
      </c>
      <c r="F107" s="8"/>
      <c r="G107" s="8"/>
    </row>
    <row r="108" spans="1:7" x14ac:dyDescent="0.35">
      <c r="A108" s="7">
        <v>106</v>
      </c>
      <c r="B108" s="7">
        <v>10106</v>
      </c>
      <c r="C108" s="8"/>
      <c r="D108" s="7" t="s">
        <v>15</v>
      </c>
      <c r="E108" s="9">
        <v>0</v>
      </c>
      <c r="F108" s="8"/>
      <c r="G108" s="8"/>
    </row>
    <row r="109" spans="1:7" x14ac:dyDescent="0.35">
      <c r="A109" s="7">
        <v>107</v>
      </c>
      <c r="B109" s="7">
        <v>10107</v>
      </c>
      <c r="C109" s="8"/>
      <c r="D109" s="7" t="s">
        <v>15</v>
      </c>
      <c r="E109" s="9">
        <v>0</v>
      </c>
      <c r="F109" s="8"/>
      <c r="G109" s="8"/>
    </row>
    <row r="110" spans="1:7" x14ac:dyDescent="0.35">
      <c r="A110" s="7">
        <v>108</v>
      </c>
      <c r="B110" s="7">
        <v>10108</v>
      </c>
      <c r="C110" s="8"/>
      <c r="D110" s="7" t="s">
        <v>15</v>
      </c>
      <c r="E110" s="9">
        <v>0</v>
      </c>
      <c r="F110" s="8"/>
      <c r="G110" s="8"/>
    </row>
    <row r="111" spans="1:7" x14ac:dyDescent="0.35">
      <c r="A111" s="7">
        <v>109</v>
      </c>
      <c r="B111" s="7">
        <v>10109</v>
      </c>
      <c r="C111" s="8"/>
      <c r="D111" s="7" t="s">
        <v>15</v>
      </c>
      <c r="E111" s="9">
        <v>0</v>
      </c>
      <c r="F111" s="8"/>
      <c r="G111" s="8"/>
    </row>
    <row r="112" spans="1:7" x14ac:dyDescent="0.35">
      <c r="A112" s="7">
        <v>110</v>
      </c>
      <c r="B112" s="7">
        <v>10110</v>
      </c>
      <c r="C112" s="8"/>
      <c r="D112" s="7" t="s">
        <v>15</v>
      </c>
      <c r="E112" s="9">
        <v>0</v>
      </c>
      <c r="F112" s="8"/>
      <c r="G112" s="8"/>
    </row>
    <row r="113" spans="1:7" x14ac:dyDescent="0.35">
      <c r="A113" s="7">
        <v>111</v>
      </c>
      <c r="B113" s="7">
        <v>10111</v>
      </c>
      <c r="C113" s="8"/>
      <c r="D113" s="7" t="s">
        <v>15</v>
      </c>
      <c r="E113" s="9">
        <v>0</v>
      </c>
      <c r="F113" s="8"/>
      <c r="G113" s="8"/>
    </row>
    <row r="114" spans="1:7" x14ac:dyDescent="0.35">
      <c r="A114" s="7">
        <v>112</v>
      </c>
      <c r="B114" s="7">
        <v>10112</v>
      </c>
      <c r="C114" s="8"/>
      <c r="D114" s="7" t="s">
        <v>15</v>
      </c>
      <c r="E114" s="9">
        <v>0</v>
      </c>
      <c r="F114" s="8"/>
      <c r="G114" s="8"/>
    </row>
    <row r="115" spans="1:7" x14ac:dyDescent="0.35">
      <c r="A115" s="7">
        <v>113</v>
      </c>
      <c r="B115" s="7">
        <v>10113</v>
      </c>
      <c r="C115" s="8"/>
      <c r="D115" s="7" t="s">
        <v>15</v>
      </c>
      <c r="E115" s="9">
        <v>0</v>
      </c>
      <c r="F115" s="8"/>
      <c r="G115" s="8"/>
    </row>
    <row r="116" spans="1:7" x14ac:dyDescent="0.35">
      <c r="A116" s="7">
        <v>114</v>
      </c>
      <c r="B116" s="7">
        <v>10114</v>
      </c>
      <c r="C116" s="8"/>
      <c r="D116" s="7" t="s">
        <v>15</v>
      </c>
      <c r="E116" s="9">
        <v>0</v>
      </c>
      <c r="F116" s="8"/>
      <c r="G116" s="8"/>
    </row>
    <row r="117" spans="1:7" x14ac:dyDescent="0.35">
      <c r="A117" s="7">
        <v>115</v>
      </c>
      <c r="B117" s="7">
        <v>10115</v>
      </c>
      <c r="C117" s="8"/>
      <c r="D117" s="7" t="s">
        <v>15</v>
      </c>
      <c r="E117" s="9">
        <v>0</v>
      </c>
      <c r="F117" s="8"/>
      <c r="G117" s="8"/>
    </row>
    <row r="118" spans="1:7" x14ac:dyDescent="0.35">
      <c r="A118" s="7">
        <v>116</v>
      </c>
      <c r="B118" s="7">
        <v>10116</v>
      </c>
      <c r="C118" s="8"/>
      <c r="D118" s="7" t="s">
        <v>15</v>
      </c>
      <c r="E118" s="9">
        <v>0</v>
      </c>
      <c r="F118" s="8"/>
      <c r="G118" s="8"/>
    </row>
    <row r="119" spans="1:7" x14ac:dyDescent="0.35">
      <c r="A119" s="7">
        <v>117</v>
      </c>
      <c r="B119" s="7">
        <v>10117</v>
      </c>
      <c r="C119" s="8"/>
      <c r="D119" s="7" t="s">
        <v>15</v>
      </c>
      <c r="E119" s="9">
        <v>0</v>
      </c>
      <c r="F119" s="8"/>
      <c r="G119" s="8"/>
    </row>
    <row r="120" spans="1:7" x14ac:dyDescent="0.35">
      <c r="A120" s="7">
        <v>118</v>
      </c>
      <c r="B120" s="7">
        <v>10118</v>
      </c>
      <c r="C120" s="8"/>
      <c r="D120" s="7" t="s">
        <v>15</v>
      </c>
      <c r="E120" s="9">
        <v>0</v>
      </c>
      <c r="F120" s="8"/>
      <c r="G120" s="8"/>
    </row>
    <row r="121" spans="1:7" x14ac:dyDescent="0.35">
      <c r="A121" s="7">
        <v>119</v>
      </c>
      <c r="B121" s="7">
        <v>10119</v>
      </c>
      <c r="C121" s="8"/>
      <c r="D121" s="7" t="s">
        <v>15</v>
      </c>
      <c r="E121" s="9">
        <v>0</v>
      </c>
      <c r="F121" s="8"/>
      <c r="G121" s="8"/>
    </row>
    <row r="122" spans="1:7" x14ac:dyDescent="0.35">
      <c r="A122" s="7">
        <v>120</v>
      </c>
      <c r="B122" s="7">
        <v>10120</v>
      </c>
      <c r="C122" s="8"/>
      <c r="D122" s="7" t="s">
        <v>15</v>
      </c>
      <c r="E122" s="9">
        <v>0</v>
      </c>
      <c r="F122" s="8"/>
      <c r="G122" s="8"/>
    </row>
    <row r="123" spans="1:7" x14ac:dyDescent="0.35">
      <c r="A123" s="7">
        <v>121</v>
      </c>
      <c r="B123" s="7">
        <v>10121</v>
      </c>
      <c r="C123" s="8"/>
      <c r="D123" s="7" t="s">
        <v>15</v>
      </c>
      <c r="E123" s="9">
        <v>0</v>
      </c>
      <c r="F123" s="8"/>
      <c r="G123" s="8"/>
    </row>
    <row r="124" spans="1:7" x14ac:dyDescent="0.35">
      <c r="A124" s="7">
        <v>122</v>
      </c>
      <c r="B124" s="7">
        <v>10122</v>
      </c>
      <c r="C124" s="8"/>
      <c r="D124" s="7" t="s">
        <v>15</v>
      </c>
      <c r="E124" s="9">
        <v>0</v>
      </c>
      <c r="F124" s="8"/>
      <c r="G124" s="8"/>
    </row>
    <row r="125" spans="1:7" x14ac:dyDescent="0.35">
      <c r="A125" s="7">
        <v>123</v>
      </c>
      <c r="B125" s="7">
        <v>10123</v>
      </c>
      <c r="C125" s="8"/>
      <c r="D125" s="7" t="s">
        <v>15</v>
      </c>
      <c r="E125" s="9">
        <v>0</v>
      </c>
      <c r="F125" s="8"/>
      <c r="G125" s="8"/>
    </row>
    <row r="126" spans="1:7" x14ac:dyDescent="0.35">
      <c r="A126" s="7">
        <v>124</v>
      </c>
      <c r="B126" s="7">
        <v>10124</v>
      </c>
      <c r="C126" s="8"/>
      <c r="D126" s="7" t="s">
        <v>15</v>
      </c>
      <c r="E126" s="9">
        <v>0</v>
      </c>
      <c r="F126" s="8"/>
      <c r="G126" s="8"/>
    </row>
    <row r="127" spans="1:7" x14ac:dyDescent="0.35">
      <c r="A127" s="7">
        <v>125</v>
      </c>
      <c r="B127" s="7">
        <v>10125</v>
      </c>
      <c r="C127" s="8"/>
      <c r="D127" s="7" t="s">
        <v>15</v>
      </c>
      <c r="E127" s="9">
        <v>0</v>
      </c>
      <c r="F127" s="8"/>
      <c r="G127" s="8"/>
    </row>
    <row r="128" spans="1:7" x14ac:dyDescent="0.35">
      <c r="A128" s="7">
        <v>126</v>
      </c>
      <c r="B128" s="7">
        <v>10126</v>
      </c>
      <c r="C128" s="8"/>
      <c r="D128" s="7" t="s">
        <v>15</v>
      </c>
      <c r="E128" s="9">
        <v>0</v>
      </c>
      <c r="F128" s="8"/>
      <c r="G128" s="8"/>
    </row>
    <row r="129" spans="1:7" x14ac:dyDescent="0.35">
      <c r="A129" s="7">
        <v>127</v>
      </c>
      <c r="B129" s="7">
        <v>10127</v>
      </c>
      <c r="C129" s="8"/>
      <c r="D129" s="7" t="s">
        <v>15</v>
      </c>
      <c r="E129" s="9">
        <v>0</v>
      </c>
      <c r="F129" s="8"/>
      <c r="G129" s="8"/>
    </row>
    <row r="130" spans="1:7" x14ac:dyDescent="0.35">
      <c r="A130" s="7">
        <v>128</v>
      </c>
      <c r="B130" s="7">
        <v>10128</v>
      </c>
      <c r="C130" s="8"/>
      <c r="D130" s="7" t="s">
        <v>15</v>
      </c>
      <c r="E130" s="9">
        <v>0</v>
      </c>
      <c r="F130" s="8"/>
      <c r="G130" s="8"/>
    </row>
    <row r="131" spans="1:7" x14ac:dyDescent="0.35">
      <c r="A131" s="7">
        <v>129</v>
      </c>
      <c r="B131" s="7">
        <v>10129</v>
      </c>
      <c r="C131" s="8"/>
      <c r="D131" s="7" t="s">
        <v>15</v>
      </c>
      <c r="E131" s="9">
        <v>0</v>
      </c>
      <c r="F131" s="8"/>
      <c r="G131" s="8"/>
    </row>
    <row r="132" spans="1:7" x14ac:dyDescent="0.35">
      <c r="A132" s="7">
        <v>130</v>
      </c>
      <c r="B132" s="7">
        <v>10130</v>
      </c>
      <c r="C132" s="8"/>
      <c r="D132" s="7" t="s">
        <v>15</v>
      </c>
      <c r="E132" s="9">
        <v>0</v>
      </c>
      <c r="F132" s="8"/>
      <c r="G132" s="8"/>
    </row>
    <row r="133" spans="1:7" x14ac:dyDescent="0.35">
      <c r="A133" s="7">
        <v>131</v>
      </c>
      <c r="B133" s="7">
        <v>10131</v>
      </c>
      <c r="C133" s="8"/>
      <c r="D133" s="7" t="s">
        <v>15</v>
      </c>
      <c r="E133" s="9">
        <v>0</v>
      </c>
      <c r="F133" s="8"/>
      <c r="G133" s="8"/>
    </row>
    <row r="134" spans="1:7" x14ac:dyDescent="0.35">
      <c r="A134" s="7">
        <v>132</v>
      </c>
      <c r="B134" s="7">
        <v>10132</v>
      </c>
      <c r="C134" s="8"/>
      <c r="D134" s="7" t="s">
        <v>15</v>
      </c>
      <c r="E134" s="9">
        <v>0</v>
      </c>
      <c r="F134" s="8"/>
      <c r="G134" s="8"/>
    </row>
    <row r="135" spans="1:7" x14ac:dyDescent="0.35">
      <c r="A135" s="7">
        <v>133</v>
      </c>
      <c r="B135" s="7">
        <v>10133</v>
      </c>
      <c r="C135" s="8"/>
      <c r="D135" s="7" t="s">
        <v>15</v>
      </c>
      <c r="E135" s="9">
        <v>0</v>
      </c>
      <c r="F135" s="8"/>
      <c r="G135" s="8"/>
    </row>
    <row r="136" spans="1:7" x14ac:dyDescent="0.35">
      <c r="A136" s="7">
        <v>134</v>
      </c>
      <c r="B136" s="7">
        <v>10134</v>
      </c>
      <c r="C136" s="8"/>
      <c r="D136" s="7" t="s">
        <v>15</v>
      </c>
      <c r="E136" s="9">
        <v>0</v>
      </c>
      <c r="F136" s="8"/>
      <c r="G136" s="8"/>
    </row>
    <row r="137" spans="1:7" x14ac:dyDescent="0.35">
      <c r="A137" s="7">
        <v>135</v>
      </c>
      <c r="B137" s="7">
        <v>10135</v>
      </c>
      <c r="C137" s="8"/>
      <c r="D137" s="7" t="s">
        <v>15</v>
      </c>
      <c r="E137" s="9">
        <v>0</v>
      </c>
      <c r="F137" s="8"/>
      <c r="G137" s="8"/>
    </row>
    <row r="138" spans="1:7" x14ac:dyDescent="0.35">
      <c r="A138" s="7">
        <v>136</v>
      </c>
      <c r="B138" s="7">
        <v>10136</v>
      </c>
      <c r="C138" s="8"/>
      <c r="D138" s="7" t="s">
        <v>15</v>
      </c>
      <c r="E138" s="9">
        <v>0</v>
      </c>
      <c r="F138" s="8"/>
      <c r="G138" s="8"/>
    </row>
    <row r="139" spans="1:7" x14ac:dyDescent="0.35">
      <c r="A139" s="7">
        <v>137</v>
      </c>
      <c r="B139" s="7">
        <v>10137</v>
      </c>
      <c r="C139" s="8"/>
      <c r="D139" s="7" t="s">
        <v>15</v>
      </c>
      <c r="E139" s="9">
        <v>0</v>
      </c>
      <c r="F139" s="8"/>
      <c r="G139" s="8"/>
    </row>
    <row r="140" spans="1:7" x14ac:dyDescent="0.35">
      <c r="A140" s="7">
        <v>138</v>
      </c>
      <c r="B140" s="7">
        <v>10138</v>
      </c>
      <c r="C140" s="8"/>
      <c r="D140" s="7" t="s">
        <v>15</v>
      </c>
      <c r="E140" s="9">
        <v>0</v>
      </c>
      <c r="F140" s="8"/>
      <c r="G140" s="8"/>
    </row>
    <row r="141" spans="1:7" x14ac:dyDescent="0.35">
      <c r="A141" s="7">
        <v>139</v>
      </c>
      <c r="B141" s="7">
        <v>10139</v>
      </c>
      <c r="C141" s="8"/>
      <c r="D141" s="7" t="s">
        <v>15</v>
      </c>
      <c r="E141" s="9">
        <v>0</v>
      </c>
      <c r="F141" s="8"/>
      <c r="G141" s="8"/>
    </row>
    <row r="142" spans="1:7" x14ac:dyDescent="0.35">
      <c r="A142" s="7">
        <v>140</v>
      </c>
      <c r="B142" s="7">
        <v>10140</v>
      </c>
      <c r="C142" s="8"/>
      <c r="D142" s="7" t="s">
        <v>15</v>
      </c>
      <c r="E142" s="9">
        <v>0</v>
      </c>
      <c r="F142" s="8"/>
      <c r="G142" s="8"/>
    </row>
    <row r="143" spans="1:7" x14ac:dyDescent="0.35">
      <c r="A143" s="7">
        <v>141</v>
      </c>
      <c r="B143" s="7">
        <v>10141</v>
      </c>
      <c r="C143" s="8"/>
      <c r="D143" s="7" t="s">
        <v>15</v>
      </c>
      <c r="E143" s="9">
        <v>0</v>
      </c>
      <c r="F143" s="8"/>
      <c r="G143" s="8"/>
    </row>
    <row r="144" spans="1:7" x14ac:dyDescent="0.35">
      <c r="A144" s="7">
        <v>142</v>
      </c>
      <c r="B144" s="7">
        <v>10142</v>
      </c>
      <c r="C144" s="8"/>
      <c r="D144" s="7" t="s">
        <v>15</v>
      </c>
      <c r="E144" s="9">
        <v>0</v>
      </c>
      <c r="F144" s="8"/>
      <c r="G144" s="8"/>
    </row>
    <row r="145" spans="1:7" x14ac:dyDescent="0.35">
      <c r="A145" s="7">
        <v>143</v>
      </c>
      <c r="B145" s="7">
        <v>10143</v>
      </c>
      <c r="C145" s="8"/>
      <c r="D145" s="7" t="s">
        <v>15</v>
      </c>
      <c r="E145" s="9">
        <v>0</v>
      </c>
      <c r="F145" s="8"/>
      <c r="G145" s="8"/>
    </row>
    <row r="146" spans="1:7" x14ac:dyDescent="0.35">
      <c r="A146" s="7">
        <v>144</v>
      </c>
      <c r="B146" s="7">
        <v>10144</v>
      </c>
      <c r="C146" s="8"/>
      <c r="D146" s="7" t="s">
        <v>15</v>
      </c>
      <c r="E146" s="9">
        <v>0</v>
      </c>
      <c r="F146" s="8"/>
      <c r="G146" s="8"/>
    </row>
    <row r="147" spans="1:7" x14ac:dyDescent="0.35">
      <c r="A147" s="7">
        <v>145</v>
      </c>
      <c r="B147" s="7">
        <v>10145</v>
      </c>
      <c r="C147" s="8"/>
      <c r="D147" s="7" t="s">
        <v>15</v>
      </c>
      <c r="E147" s="9">
        <v>0</v>
      </c>
      <c r="F147" s="8"/>
      <c r="G147" s="8"/>
    </row>
    <row r="148" spans="1:7" x14ac:dyDescent="0.35">
      <c r="A148" s="7">
        <v>146</v>
      </c>
      <c r="B148" s="7">
        <v>10146</v>
      </c>
      <c r="C148" s="8"/>
      <c r="D148" s="7" t="s">
        <v>15</v>
      </c>
      <c r="E148" s="9">
        <v>0</v>
      </c>
      <c r="F148" s="8"/>
      <c r="G148" s="8"/>
    </row>
    <row r="149" spans="1:7" x14ac:dyDescent="0.35">
      <c r="A149" s="7">
        <v>147</v>
      </c>
      <c r="B149" s="7">
        <v>10147</v>
      </c>
      <c r="C149" s="8"/>
      <c r="D149" s="7" t="s">
        <v>15</v>
      </c>
      <c r="E149" s="9">
        <v>0</v>
      </c>
      <c r="F149" s="8"/>
      <c r="G149" s="8"/>
    </row>
    <row r="150" spans="1:7" x14ac:dyDescent="0.35">
      <c r="A150" s="7">
        <v>148</v>
      </c>
      <c r="B150" s="7">
        <v>10148</v>
      </c>
      <c r="C150" s="8"/>
      <c r="D150" s="7" t="s">
        <v>15</v>
      </c>
      <c r="E150" s="9">
        <v>0</v>
      </c>
      <c r="F150" s="8"/>
      <c r="G150" s="8"/>
    </row>
    <row r="151" spans="1:7" x14ac:dyDescent="0.35">
      <c r="A151" s="7">
        <v>149</v>
      </c>
      <c r="B151" s="7">
        <v>10149</v>
      </c>
      <c r="C151" s="8"/>
      <c r="D151" s="7" t="s">
        <v>15</v>
      </c>
      <c r="E151" s="9">
        <v>0</v>
      </c>
      <c r="F151" s="8"/>
      <c r="G151" s="8"/>
    </row>
    <row r="152" spans="1:7" x14ac:dyDescent="0.35">
      <c r="A152" s="7">
        <v>150</v>
      </c>
      <c r="B152" s="7">
        <v>10150</v>
      </c>
      <c r="C152" s="8"/>
      <c r="D152" s="7" t="s">
        <v>15</v>
      </c>
      <c r="E152" s="9">
        <v>0</v>
      </c>
      <c r="F152" s="8"/>
      <c r="G152" s="8"/>
    </row>
  </sheetData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Data!$D$1:$D$5</xm:f>
          </x14:formula1>
          <xm:sqref>D3:D152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K23"/>
  <sheetViews>
    <sheetView zoomScale="70" zoomScaleNormal="70" workbookViewId="0">
      <selection activeCell="D11" sqref="D11"/>
    </sheetView>
  </sheetViews>
  <sheetFormatPr defaultColWidth="9" defaultRowHeight="21" x14ac:dyDescent="0.35"/>
  <cols>
    <col min="1" max="1" width="9" style="1"/>
    <col min="2" max="2" width="13.5" style="3" customWidth="1"/>
    <col min="3" max="3" width="30.5" style="3" customWidth="1"/>
    <col min="4" max="4" width="58" style="3" customWidth="1"/>
    <col min="5" max="5" width="19.375" style="3" customWidth="1"/>
    <col min="6" max="6" width="22.5" style="3" customWidth="1"/>
    <col min="7" max="7" width="24" style="3" customWidth="1"/>
    <col min="8" max="8" width="20.125" style="3" customWidth="1"/>
    <col min="9" max="9" width="28.125" style="3" customWidth="1"/>
    <col min="10" max="10" width="29.25" style="3" customWidth="1"/>
    <col min="11" max="11" width="30.5" style="3" customWidth="1"/>
    <col min="12" max="16384" width="9" style="3"/>
  </cols>
  <sheetData>
    <row r="1" spans="1:11" x14ac:dyDescent="0.35">
      <c r="A1" s="97" t="s">
        <v>173</v>
      </c>
      <c r="B1" s="97"/>
      <c r="C1" s="97"/>
      <c r="D1" s="97"/>
      <c r="E1" s="97"/>
      <c r="F1" s="97"/>
      <c r="G1" s="97"/>
      <c r="H1" s="97"/>
      <c r="I1" s="97"/>
      <c r="J1" s="97"/>
      <c r="K1" s="97"/>
    </row>
    <row r="2" spans="1:11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</row>
    <row r="3" spans="1:11" x14ac:dyDescent="0.35">
      <c r="A3" s="6" t="s">
        <v>21</v>
      </c>
      <c r="B3" s="6" t="s">
        <v>171</v>
      </c>
      <c r="C3" s="6" t="s">
        <v>172</v>
      </c>
      <c r="D3" s="6" t="s">
        <v>29</v>
      </c>
      <c r="E3" s="6" t="s">
        <v>94</v>
      </c>
      <c r="F3" s="6" t="s">
        <v>95</v>
      </c>
      <c r="G3" s="6" t="s">
        <v>114</v>
      </c>
      <c r="H3" s="6" t="s">
        <v>96</v>
      </c>
      <c r="I3" s="6" t="s">
        <v>97</v>
      </c>
      <c r="J3" s="6" t="s">
        <v>98</v>
      </c>
      <c r="K3" s="6" t="s">
        <v>99</v>
      </c>
    </row>
    <row r="4" spans="1:11" x14ac:dyDescent="0.35">
      <c r="A4" s="7">
        <v>1</v>
      </c>
      <c r="B4" s="52">
        <v>90001</v>
      </c>
      <c r="C4" s="52" t="s">
        <v>74</v>
      </c>
      <c r="D4" s="53" t="s">
        <v>132</v>
      </c>
      <c r="E4" s="52" t="s">
        <v>100</v>
      </c>
      <c r="F4" s="52" t="s">
        <v>91</v>
      </c>
      <c r="G4" s="54">
        <v>1309900966550</v>
      </c>
      <c r="H4" s="52" t="s">
        <v>91</v>
      </c>
      <c r="I4" s="52" t="s">
        <v>91</v>
      </c>
      <c r="J4" s="52" t="s">
        <v>91</v>
      </c>
      <c r="K4" s="52" t="s">
        <v>91</v>
      </c>
    </row>
    <row r="5" spans="1:11" x14ac:dyDescent="0.35">
      <c r="A5" s="7">
        <v>2</v>
      </c>
      <c r="B5" s="52">
        <v>90002</v>
      </c>
      <c r="C5" s="52" t="s">
        <v>174</v>
      </c>
      <c r="D5" s="53" t="s">
        <v>175</v>
      </c>
      <c r="E5" s="52" t="s">
        <v>176</v>
      </c>
      <c r="F5" s="52" t="s">
        <v>91</v>
      </c>
      <c r="G5" s="54">
        <v>3301500605993</v>
      </c>
      <c r="H5" s="52" t="s">
        <v>91</v>
      </c>
      <c r="I5" s="52" t="s">
        <v>91</v>
      </c>
      <c r="J5" s="52" t="s">
        <v>91</v>
      </c>
      <c r="K5" s="52" t="s">
        <v>91</v>
      </c>
    </row>
    <row r="6" spans="1:11" x14ac:dyDescent="0.35">
      <c r="A6" s="7">
        <v>3</v>
      </c>
      <c r="B6" s="52">
        <v>90003</v>
      </c>
      <c r="C6" s="52"/>
      <c r="D6" s="53"/>
      <c r="E6" s="52"/>
      <c r="F6" s="52"/>
      <c r="G6" s="54"/>
      <c r="H6" s="52"/>
      <c r="I6" s="52"/>
      <c r="J6" s="52"/>
      <c r="K6" s="52"/>
    </row>
    <row r="7" spans="1:11" x14ac:dyDescent="0.35">
      <c r="A7" s="7">
        <v>4</v>
      </c>
      <c r="B7" s="52">
        <v>90004</v>
      </c>
      <c r="C7" s="52"/>
      <c r="D7" s="53"/>
      <c r="E7" s="52"/>
      <c r="F7" s="52"/>
      <c r="G7" s="54"/>
      <c r="H7" s="52"/>
      <c r="I7" s="52"/>
      <c r="J7" s="52"/>
      <c r="K7" s="52"/>
    </row>
    <row r="8" spans="1:11" x14ac:dyDescent="0.35">
      <c r="A8" s="7">
        <v>5</v>
      </c>
      <c r="B8" s="52">
        <v>90005</v>
      </c>
      <c r="C8" s="52"/>
      <c r="D8" s="53"/>
      <c r="E8" s="52"/>
      <c r="F8" s="52"/>
      <c r="G8" s="54"/>
      <c r="H8" s="52"/>
      <c r="I8" s="52"/>
      <c r="J8" s="52"/>
      <c r="K8" s="52"/>
    </row>
    <row r="9" spans="1:11" x14ac:dyDescent="0.35">
      <c r="A9" s="7">
        <v>6</v>
      </c>
      <c r="B9" s="52">
        <v>90006</v>
      </c>
      <c r="C9" s="52"/>
      <c r="D9" s="53"/>
      <c r="E9" s="52"/>
      <c r="F9" s="52"/>
      <c r="G9" s="54"/>
      <c r="H9" s="52"/>
      <c r="I9" s="52"/>
      <c r="J9" s="52"/>
      <c r="K9" s="52"/>
    </row>
    <row r="10" spans="1:11" x14ac:dyDescent="0.35">
      <c r="A10" s="7">
        <v>7</v>
      </c>
      <c r="B10" s="52">
        <v>90007</v>
      </c>
      <c r="C10" s="52"/>
      <c r="D10" s="53"/>
      <c r="E10" s="52"/>
      <c r="F10" s="52"/>
      <c r="G10" s="54"/>
      <c r="H10" s="52"/>
      <c r="I10" s="52"/>
      <c r="J10" s="52"/>
      <c r="K10" s="52"/>
    </row>
    <row r="11" spans="1:11" x14ac:dyDescent="0.35">
      <c r="A11" s="7">
        <v>8</v>
      </c>
      <c r="B11" s="52">
        <v>90008</v>
      </c>
      <c r="C11" s="52"/>
      <c r="D11" s="53"/>
      <c r="E11" s="52"/>
      <c r="F11" s="52"/>
      <c r="G11" s="54"/>
      <c r="H11" s="52"/>
      <c r="I11" s="52"/>
      <c r="J11" s="52"/>
      <c r="K11" s="52"/>
    </row>
    <row r="12" spans="1:11" x14ac:dyDescent="0.35">
      <c r="A12" s="7">
        <v>9</v>
      </c>
      <c r="B12" s="52">
        <v>90009</v>
      </c>
      <c r="C12" s="52"/>
      <c r="D12" s="53"/>
      <c r="E12" s="52"/>
      <c r="F12" s="52"/>
      <c r="G12" s="54"/>
      <c r="H12" s="52"/>
      <c r="I12" s="52"/>
      <c r="J12" s="52"/>
      <c r="K12" s="52"/>
    </row>
    <row r="13" spans="1:11" x14ac:dyDescent="0.35">
      <c r="A13" s="7">
        <v>10</v>
      </c>
      <c r="B13" s="52">
        <v>90010</v>
      </c>
      <c r="C13" s="52"/>
      <c r="D13" s="53"/>
      <c r="E13" s="52"/>
      <c r="F13" s="52"/>
      <c r="G13" s="54"/>
      <c r="H13" s="52"/>
      <c r="I13" s="52"/>
      <c r="J13" s="52"/>
      <c r="K13" s="52"/>
    </row>
    <row r="14" spans="1:11" x14ac:dyDescent="0.35">
      <c r="A14" s="7">
        <v>11</v>
      </c>
      <c r="B14" s="52">
        <v>90011</v>
      </c>
      <c r="C14" s="52"/>
      <c r="D14" s="53"/>
      <c r="E14" s="52"/>
      <c r="F14" s="52"/>
      <c r="G14" s="54"/>
      <c r="H14" s="52"/>
      <c r="I14" s="52"/>
      <c r="J14" s="52"/>
      <c r="K14" s="52"/>
    </row>
    <row r="15" spans="1:11" x14ac:dyDescent="0.35">
      <c r="A15" s="7">
        <v>12</v>
      </c>
      <c r="B15" s="52">
        <v>90012</v>
      </c>
      <c r="C15" s="52"/>
      <c r="D15" s="53"/>
      <c r="E15" s="52"/>
      <c r="F15" s="52"/>
      <c r="G15" s="54"/>
      <c r="H15" s="52"/>
      <c r="I15" s="52"/>
      <c r="J15" s="52"/>
      <c r="K15" s="52"/>
    </row>
    <row r="16" spans="1:11" x14ac:dyDescent="0.35">
      <c r="A16" s="7">
        <v>13</v>
      </c>
      <c r="B16" s="52">
        <v>90013</v>
      </c>
      <c r="C16" s="52"/>
      <c r="D16" s="53"/>
      <c r="E16" s="52"/>
      <c r="F16" s="52"/>
      <c r="G16" s="54"/>
      <c r="H16" s="52"/>
      <c r="I16" s="52"/>
      <c r="J16" s="52"/>
      <c r="K16" s="52"/>
    </row>
    <row r="17" spans="1:11" x14ac:dyDescent="0.35">
      <c r="A17" s="7">
        <v>14</v>
      </c>
      <c r="B17" s="52">
        <v>90014</v>
      </c>
      <c r="C17" s="52"/>
      <c r="D17" s="53"/>
      <c r="E17" s="52"/>
      <c r="F17" s="52"/>
      <c r="G17" s="54"/>
      <c r="H17" s="52"/>
      <c r="I17" s="52"/>
      <c r="J17" s="52"/>
      <c r="K17" s="52"/>
    </row>
    <row r="18" spans="1:11" x14ac:dyDescent="0.35">
      <c r="A18" s="7">
        <v>15</v>
      </c>
      <c r="B18" s="52">
        <v>90015</v>
      </c>
      <c r="C18" s="52"/>
      <c r="D18" s="53"/>
      <c r="E18" s="52"/>
      <c r="F18" s="52"/>
      <c r="G18" s="54"/>
      <c r="H18" s="52"/>
      <c r="I18" s="52"/>
      <c r="J18" s="52"/>
      <c r="K18" s="52"/>
    </row>
    <row r="19" spans="1:11" x14ac:dyDescent="0.35">
      <c r="A19" s="7">
        <v>16</v>
      </c>
      <c r="B19" s="52">
        <v>90016</v>
      </c>
      <c r="C19" s="52"/>
      <c r="D19" s="53"/>
      <c r="E19" s="52"/>
      <c r="F19" s="52"/>
      <c r="G19" s="54"/>
      <c r="H19" s="52"/>
      <c r="I19" s="52"/>
      <c r="J19" s="52"/>
      <c r="K19" s="52"/>
    </row>
    <row r="20" spans="1:11" x14ac:dyDescent="0.35">
      <c r="A20" s="7">
        <v>17</v>
      </c>
      <c r="B20" s="52">
        <v>90017</v>
      </c>
      <c r="C20" s="52"/>
      <c r="D20" s="53"/>
      <c r="E20" s="52"/>
      <c r="F20" s="52"/>
      <c r="G20" s="54"/>
      <c r="H20" s="52"/>
      <c r="I20" s="52"/>
      <c r="J20" s="52"/>
      <c r="K20" s="52"/>
    </row>
    <row r="21" spans="1:11" x14ac:dyDescent="0.35">
      <c r="A21" s="7">
        <v>18</v>
      </c>
      <c r="B21" s="52">
        <v>90018</v>
      </c>
      <c r="C21" s="52"/>
      <c r="D21" s="53"/>
      <c r="E21" s="52"/>
      <c r="F21" s="52"/>
      <c r="G21" s="54"/>
      <c r="H21" s="52"/>
      <c r="I21" s="52"/>
      <c r="J21" s="52"/>
      <c r="K21" s="52"/>
    </row>
    <row r="22" spans="1:11" x14ac:dyDescent="0.35">
      <c r="A22" s="7">
        <v>19</v>
      </c>
      <c r="B22" s="52">
        <v>90019</v>
      </c>
      <c r="C22" s="52"/>
      <c r="D22" s="53"/>
      <c r="E22" s="52"/>
      <c r="F22" s="52"/>
      <c r="G22" s="54"/>
      <c r="H22" s="52"/>
      <c r="I22" s="52"/>
      <c r="J22" s="52"/>
      <c r="K22" s="52"/>
    </row>
    <row r="23" spans="1:11" x14ac:dyDescent="0.35">
      <c r="A23" s="7">
        <v>20</v>
      </c>
      <c r="B23" s="52">
        <v>90020</v>
      </c>
      <c r="C23" s="52"/>
      <c r="D23" s="53"/>
      <c r="E23" s="52"/>
      <c r="F23" s="52"/>
      <c r="G23" s="54"/>
      <c r="H23" s="52"/>
      <c r="I23" s="52"/>
      <c r="J23" s="52"/>
      <c r="K23" s="52"/>
    </row>
  </sheetData>
  <mergeCells count="1">
    <mergeCell ref="A1:K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K70"/>
  <sheetViews>
    <sheetView showGridLines="0" topLeftCell="A19" zoomScaleNormal="100" workbookViewId="0">
      <selection activeCell="B15" sqref="B15"/>
    </sheetView>
  </sheetViews>
  <sheetFormatPr defaultColWidth="9" defaultRowHeight="19.5" x14ac:dyDescent="0.3"/>
  <cols>
    <col min="1" max="1" width="27.25" style="12" customWidth="1"/>
    <col min="2" max="2" width="16.625" style="12" customWidth="1"/>
    <col min="3" max="3" width="27.875" style="12" customWidth="1"/>
    <col min="4" max="4" width="15" style="12" customWidth="1"/>
    <col min="5" max="16384" width="9" style="12"/>
  </cols>
  <sheetData>
    <row r="1" spans="1:11" ht="51.75" customHeight="1" x14ac:dyDescent="0.3">
      <c r="A1" s="121" t="s">
        <v>65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</row>
    <row r="2" spans="1:11" ht="20.25" x14ac:dyDescent="0.3">
      <c r="A2" s="35"/>
      <c r="B2" s="35"/>
      <c r="C2" s="35"/>
      <c r="D2" s="35"/>
    </row>
    <row r="3" spans="1:11" x14ac:dyDescent="0.3">
      <c r="A3" s="36" t="s">
        <v>27</v>
      </c>
      <c r="B3" s="11"/>
    </row>
    <row r="4" spans="1:11" x14ac:dyDescent="0.3">
      <c r="A4" s="13" t="s">
        <v>28</v>
      </c>
      <c r="B4" s="99" t="s">
        <v>224</v>
      </c>
      <c r="C4" s="99"/>
      <c r="D4" s="99"/>
    </row>
    <row r="5" spans="1:11" x14ac:dyDescent="0.3">
      <c r="A5" s="13" t="s">
        <v>29</v>
      </c>
      <c r="B5" s="124" t="s">
        <v>36</v>
      </c>
      <c r="C5" s="124"/>
      <c r="D5" s="124"/>
    </row>
    <row r="6" spans="1:11" x14ac:dyDescent="0.3">
      <c r="A6" s="13" t="s">
        <v>30</v>
      </c>
      <c r="B6" s="99" t="s">
        <v>37</v>
      </c>
      <c r="C6" s="99"/>
      <c r="D6" s="99"/>
    </row>
    <row r="7" spans="1:11" x14ac:dyDescent="0.3">
      <c r="A7" s="13" t="s">
        <v>31</v>
      </c>
      <c r="B7" s="99">
        <v>53</v>
      </c>
      <c r="C7" s="99"/>
      <c r="D7" s="99"/>
      <c r="G7" s="115" t="s">
        <v>27</v>
      </c>
      <c r="H7" s="115"/>
      <c r="I7" s="115"/>
      <c r="J7" s="115"/>
    </row>
    <row r="8" spans="1:11" x14ac:dyDescent="0.3">
      <c r="A8" s="13" t="s">
        <v>32</v>
      </c>
      <c r="B8" s="99" t="s">
        <v>38</v>
      </c>
      <c r="C8" s="99"/>
      <c r="D8" s="99"/>
      <c r="G8" s="115"/>
      <c r="H8" s="115"/>
      <c r="I8" s="115"/>
      <c r="J8" s="115"/>
    </row>
    <row r="9" spans="1:11" x14ac:dyDescent="0.3">
      <c r="A9" s="13" t="s">
        <v>33</v>
      </c>
      <c r="B9" s="99" t="s">
        <v>39</v>
      </c>
      <c r="C9" s="99"/>
      <c r="D9" s="99"/>
    </row>
    <row r="10" spans="1:11" x14ac:dyDescent="0.3">
      <c r="A10" s="13" t="s">
        <v>34</v>
      </c>
      <c r="B10" s="99" t="s">
        <v>40</v>
      </c>
      <c r="C10" s="99"/>
      <c r="D10" s="99"/>
    </row>
    <row r="11" spans="1:11" x14ac:dyDescent="0.3">
      <c r="A11" s="13" t="s">
        <v>35</v>
      </c>
      <c r="B11" s="99" t="s">
        <v>39</v>
      </c>
      <c r="C11" s="99"/>
      <c r="D11" s="99"/>
    </row>
    <row r="13" spans="1:11" ht="21" x14ac:dyDescent="0.3">
      <c r="A13" s="16" t="s">
        <v>41</v>
      </c>
      <c r="B13" s="119"/>
      <c r="C13" s="120"/>
      <c r="D13" s="120"/>
    </row>
    <row r="14" spans="1:11" ht="21" x14ac:dyDescent="0.35">
      <c r="A14" s="17" t="s">
        <v>42</v>
      </c>
      <c r="B14" s="103" t="s">
        <v>214</v>
      </c>
      <c r="C14" s="103"/>
      <c r="D14" s="103"/>
    </row>
    <row r="15" spans="1:11" ht="21" x14ac:dyDescent="0.35">
      <c r="A15" s="17" t="s">
        <v>43</v>
      </c>
      <c r="B15" s="15">
        <v>7</v>
      </c>
      <c r="C15" s="15" t="s">
        <v>13</v>
      </c>
      <c r="D15" s="15">
        <v>2562</v>
      </c>
      <c r="G15" s="100" t="s">
        <v>46</v>
      </c>
      <c r="H15" s="100"/>
      <c r="I15" s="100"/>
      <c r="J15" s="100"/>
    </row>
    <row r="16" spans="1:11" ht="21" x14ac:dyDescent="0.35">
      <c r="A16" s="17" t="s">
        <v>202</v>
      </c>
      <c r="B16" s="111" t="s">
        <v>16</v>
      </c>
      <c r="C16" s="111"/>
      <c r="D16" s="111"/>
      <c r="G16" s="100" t="s">
        <v>45</v>
      </c>
      <c r="H16" s="100"/>
      <c r="I16" s="100"/>
      <c r="J16" s="100"/>
    </row>
    <row r="17" spans="1:10" ht="21" x14ac:dyDescent="0.35">
      <c r="A17" s="17" t="s">
        <v>44</v>
      </c>
      <c r="B17" s="112">
        <v>10001</v>
      </c>
      <c r="C17" s="112"/>
      <c r="D17" s="112"/>
      <c r="G17" s="100" t="s">
        <v>44</v>
      </c>
      <c r="H17" s="100"/>
      <c r="I17" s="100"/>
      <c r="J17" s="100"/>
    </row>
    <row r="18" spans="1:10" ht="21" x14ac:dyDescent="0.35">
      <c r="A18" s="17" t="s">
        <v>203</v>
      </c>
      <c r="B18" s="101" t="str">
        <f>VLOOKUP(B17,Worklist!B3:G152,2,FALSE)</f>
        <v>วัสดุสำนักงานจำนวน 18 รายการ</v>
      </c>
      <c r="C18" s="101"/>
      <c r="D18" s="101"/>
    </row>
    <row r="19" spans="1:10" ht="21" x14ac:dyDescent="0.35">
      <c r="A19" s="17" t="s">
        <v>204</v>
      </c>
      <c r="B19" s="101" t="str">
        <f>VLOOKUP(B17,Worklist!B3:G152,5,FALSE)</f>
        <v>เพื่อใช้ในการจัดการเรียนการสอน</v>
      </c>
      <c r="C19" s="101"/>
      <c r="D19" s="101"/>
      <c r="G19" s="116" t="s">
        <v>168</v>
      </c>
      <c r="H19" s="116"/>
      <c r="I19" s="116"/>
      <c r="J19" s="116"/>
    </row>
    <row r="20" spans="1:10" ht="21" x14ac:dyDescent="0.35">
      <c r="A20" s="17" t="s">
        <v>47</v>
      </c>
      <c r="B20" s="101" t="str">
        <f>VLOOKUP(B17,Worklist!B3:G152,6,FALSE)</f>
        <v>งานบริหารทั่วไป</v>
      </c>
      <c r="C20" s="101"/>
      <c r="D20" s="101"/>
      <c r="G20" s="116"/>
      <c r="H20" s="116"/>
      <c r="I20" s="116"/>
      <c r="J20" s="116"/>
    </row>
    <row r="21" spans="1:10" ht="21" x14ac:dyDescent="0.35">
      <c r="A21" s="17" t="s">
        <v>25</v>
      </c>
      <c r="B21" s="125">
        <f>VLOOKUP(B17,Worklist!B3:G152,4,FALSE)</f>
        <v>9153</v>
      </c>
      <c r="C21" s="125"/>
      <c r="D21" s="125"/>
    </row>
    <row r="22" spans="1:10" ht="21" x14ac:dyDescent="0.35">
      <c r="A22" s="17" t="s">
        <v>136</v>
      </c>
      <c r="B22" s="126">
        <v>7</v>
      </c>
      <c r="C22" s="127"/>
      <c r="D22" s="128"/>
    </row>
    <row r="23" spans="1:10" ht="21" x14ac:dyDescent="0.35">
      <c r="A23" s="41" t="s">
        <v>135</v>
      </c>
      <c r="B23" s="15">
        <v>14</v>
      </c>
      <c r="C23" s="15" t="s">
        <v>13</v>
      </c>
      <c r="D23" s="15">
        <v>2562</v>
      </c>
    </row>
    <row r="25" spans="1:10" ht="21" x14ac:dyDescent="0.3">
      <c r="A25" s="16" t="s">
        <v>66</v>
      </c>
    </row>
    <row r="26" spans="1:10" ht="21" x14ac:dyDescent="0.35">
      <c r="A26" s="17" t="s">
        <v>57</v>
      </c>
      <c r="B26" s="123" t="s">
        <v>74</v>
      </c>
      <c r="C26" s="123"/>
      <c r="D26" s="14" t="s">
        <v>68</v>
      </c>
      <c r="G26" s="100" t="s">
        <v>86</v>
      </c>
      <c r="H26" s="100"/>
      <c r="I26" s="100"/>
      <c r="J26" s="100"/>
    </row>
    <row r="27" spans="1:10" ht="21" x14ac:dyDescent="0.35">
      <c r="A27" s="17" t="s">
        <v>58</v>
      </c>
      <c r="B27" s="123" t="s">
        <v>38</v>
      </c>
      <c r="C27" s="123"/>
      <c r="D27" s="14" t="s">
        <v>69</v>
      </c>
      <c r="G27" s="100" t="s">
        <v>87</v>
      </c>
      <c r="H27" s="100"/>
      <c r="I27" s="100"/>
      <c r="J27" s="100"/>
    </row>
    <row r="28" spans="1:10" ht="21" x14ac:dyDescent="0.35">
      <c r="A28" s="17" t="s">
        <v>58</v>
      </c>
      <c r="B28" s="123" t="s">
        <v>40</v>
      </c>
      <c r="C28" s="123"/>
      <c r="D28" s="14" t="s">
        <v>69</v>
      </c>
      <c r="G28" s="100" t="s">
        <v>87</v>
      </c>
      <c r="H28" s="100"/>
      <c r="I28" s="100"/>
      <c r="J28" s="100"/>
    </row>
    <row r="30" spans="1:10" ht="21" x14ac:dyDescent="0.3">
      <c r="A30" s="16" t="s">
        <v>80</v>
      </c>
    </row>
    <row r="31" spans="1:10" ht="21" x14ac:dyDescent="0.35">
      <c r="A31" s="17" t="s">
        <v>81</v>
      </c>
      <c r="B31" s="103" t="s">
        <v>83</v>
      </c>
      <c r="C31" s="103"/>
      <c r="D31" s="103"/>
    </row>
    <row r="32" spans="1:10" ht="21" x14ac:dyDescent="0.35">
      <c r="A32" s="17" t="s">
        <v>82</v>
      </c>
      <c r="B32" s="15">
        <v>7</v>
      </c>
      <c r="C32" s="15" t="s">
        <v>13</v>
      </c>
      <c r="D32" s="15">
        <v>2562</v>
      </c>
      <c r="G32" s="100" t="s">
        <v>85</v>
      </c>
      <c r="H32" s="100"/>
      <c r="I32" s="100"/>
      <c r="J32" s="100"/>
    </row>
    <row r="34" spans="1:10" ht="21" x14ac:dyDescent="0.3">
      <c r="A34" s="16" t="s">
        <v>88</v>
      </c>
    </row>
    <row r="35" spans="1:10" ht="21" x14ac:dyDescent="0.35">
      <c r="A35" s="17" t="s">
        <v>42</v>
      </c>
      <c r="B35" s="103" t="s">
        <v>83</v>
      </c>
      <c r="C35" s="103"/>
      <c r="D35" s="103"/>
    </row>
    <row r="36" spans="1:10" ht="21" x14ac:dyDescent="0.35">
      <c r="A36" s="17" t="s">
        <v>89</v>
      </c>
      <c r="B36" s="15">
        <v>6</v>
      </c>
      <c r="C36" s="15" t="s">
        <v>13</v>
      </c>
      <c r="D36" s="15">
        <v>2562</v>
      </c>
      <c r="G36" s="100" t="s">
        <v>162</v>
      </c>
      <c r="H36" s="100"/>
      <c r="I36" s="100"/>
      <c r="J36" s="100"/>
    </row>
    <row r="38" spans="1:10" ht="21" x14ac:dyDescent="0.3">
      <c r="A38" s="16" t="s">
        <v>90</v>
      </c>
    </row>
    <row r="39" spans="1:10" ht="21" x14ac:dyDescent="0.35">
      <c r="A39" s="10" t="s">
        <v>205</v>
      </c>
      <c r="B39" s="104">
        <v>90001</v>
      </c>
      <c r="C39" s="104"/>
      <c r="D39" s="104"/>
      <c r="G39" s="100" t="s">
        <v>177</v>
      </c>
      <c r="H39" s="100"/>
      <c r="I39" s="100"/>
      <c r="J39" s="100"/>
    </row>
    <row r="40" spans="1:10" ht="21" x14ac:dyDescent="0.35">
      <c r="A40" s="10" t="s">
        <v>92</v>
      </c>
      <c r="B40" s="105" t="str">
        <f>VLOOKUP(B39,Contractor!B4:K23,2,FALSE)</f>
        <v>สิบตรีวีระวัฒน์ สุขทองหลาง</v>
      </c>
      <c r="C40" s="105"/>
      <c r="D40" s="105"/>
    </row>
    <row r="41" spans="1:10" ht="21" x14ac:dyDescent="0.35">
      <c r="A41" s="10" t="s">
        <v>170</v>
      </c>
      <c r="B41" s="105" t="str">
        <f>VLOOKUP(B39,Contractor!B4:K23,3,FALSE)</f>
        <v>5/1 หมู่ 7 ตำบลรังกาใหญ่ อำเภอพิมาย จังหวัดนครราชสีมา 30110</v>
      </c>
      <c r="C41" s="105"/>
      <c r="D41" s="105"/>
    </row>
    <row r="42" spans="1:10" ht="21" x14ac:dyDescent="0.35">
      <c r="A42" s="10" t="s">
        <v>94</v>
      </c>
      <c r="B42" s="106" t="str">
        <f>VLOOKUP(B39,Contractor!B4:K23,4,FALSE)</f>
        <v>063-8263603</v>
      </c>
      <c r="C42" s="106"/>
      <c r="D42" s="106"/>
    </row>
    <row r="43" spans="1:10" ht="21" x14ac:dyDescent="0.35">
      <c r="A43" s="10" t="s">
        <v>95</v>
      </c>
      <c r="B43" s="110" t="str">
        <f>VLOOKUP(B39,Contractor!B4:K23,5,FALSE)</f>
        <v>-</v>
      </c>
      <c r="C43" s="110"/>
      <c r="D43" s="110"/>
      <c r="G43" s="117" t="s">
        <v>206</v>
      </c>
      <c r="H43" s="117"/>
      <c r="I43" s="117"/>
      <c r="J43" s="117"/>
    </row>
    <row r="44" spans="1:10" ht="21" x14ac:dyDescent="0.35">
      <c r="A44" s="10" t="s">
        <v>114</v>
      </c>
      <c r="B44" s="107">
        <f>VLOOKUP(B39,Contractor!B4:K23,6,FALSE)</f>
        <v>1309900966550</v>
      </c>
      <c r="C44" s="108"/>
      <c r="D44" s="109"/>
      <c r="G44" s="117"/>
      <c r="H44" s="117"/>
      <c r="I44" s="117"/>
      <c r="J44" s="117"/>
    </row>
    <row r="45" spans="1:10" ht="21" x14ac:dyDescent="0.35">
      <c r="A45" s="10" t="s">
        <v>96</v>
      </c>
      <c r="B45" s="110" t="str">
        <f>VLOOKUP(B39,Contractor!B4:K23,7,FALSE)</f>
        <v>-</v>
      </c>
      <c r="C45" s="110"/>
      <c r="D45" s="110"/>
    </row>
    <row r="46" spans="1:10" ht="21" x14ac:dyDescent="0.35">
      <c r="A46" s="10" t="s">
        <v>97</v>
      </c>
      <c r="B46" s="110" t="str">
        <f>VLOOKUP(B39,Contractor!B4:K23,8,FALSE)</f>
        <v>-</v>
      </c>
      <c r="C46" s="110"/>
      <c r="D46" s="110"/>
    </row>
    <row r="47" spans="1:10" ht="21" x14ac:dyDescent="0.35">
      <c r="A47" s="10" t="s">
        <v>98</v>
      </c>
      <c r="B47" s="110" t="str">
        <f>VLOOKUP(B39,Contractor!B4:K23,9,FALSE)</f>
        <v>-</v>
      </c>
      <c r="C47" s="110"/>
      <c r="D47" s="110"/>
    </row>
    <row r="48" spans="1:10" ht="21" x14ac:dyDescent="0.35">
      <c r="A48" s="10" t="s">
        <v>99</v>
      </c>
      <c r="B48" s="110" t="str">
        <f>VLOOKUP(B39,Contractor!B4:K23,10,FALSE)</f>
        <v>-</v>
      </c>
      <c r="C48" s="110"/>
      <c r="D48" s="110"/>
    </row>
    <row r="50" spans="1:10" ht="20.25" x14ac:dyDescent="0.3">
      <c r="A50" s="39" t="s">
        <v>101</v>
      </c>
    </row>
    <row r="51" spans="1:10" ht="21" x14ac:dyDescent="0.35">
      <c r="A51" s="10" t="s">
        <v>133</v>
      </c>
      <c r="B51" s="99" t="s">
        <v>134</v>
      </c>
      <c r="C51" s="99"/>
      <c r="D51" s="99"/>
    </row>
    <row r="52" spans="1:10" ht="21" x14ac:dyDescent="0.35">
      <c r="A52" s="10" t="s">
        <v>102</v>
      </c>
      <c r="B52" s="15">
        <v>3</v>
      </c>
      <c r="C52" s="15" t="s">
        <v>11</v>
      </c>
      <c r="D52" s="15">
        <v>2562</v>
      </c>
      <c r="G52" s="100" t="s">
        <v>163</v>
      </c>
      <c r="H52" s="100"/>
      <c r="I52" s="100"/>
      <c r="J52" s="100"/>
    </row>
    <row r="53" spans="1:10" ht="21" x14ac:dyDescent="0.35">
      <c r="A53" s="10" t="s">
        <v>93</v>
      </c>
      <c r="B53" s="102">
        <v>2345</v>
      </c>
      <c r="C53" s="102"/>
      <c r="D53" s="102"/>
    </row>
    <row r="54" spans="1:10" ht="21" x14ac:dyDescent="0.35">
      <c r="A54" s="10" t="s">
        <v>187</v>
      </c>
      <c r="B54" s="118">
        <v>1</v>
      </c>
      <c r="C54" s="118"/>
      <c r="D54" s="118"/>
    </row>
    <row r="55" spans="1:10" ht="21" x14ac:dyDescent="0.35">
      <c r="A55" s="10" t="s">
        <v>207</v>
      </c>
      <c r="B55" s="99" t="s">
        <v>104</v>
      </c>
      <c r="C55" s="99"/>
      <c r="D55" s="99"/>
    </row>
    <row r="57" spans="1:10" ht="20.25" x14ac:dyDescent="0.3">
      <c r="A57" s="39" t="s">
        <v>146</v>
      </c>
    </row>
    <row r="58" spans="1:10" ht="21" x14ac:dyDescent="0.35">
      <c r="A58" s="10" t="s">
        <v>208</v>
      </c>
      <c r="B58" s="99" t="s">
        <v>131</v>
      </c>
      <c r="C58" s="99"/>
      <c r="D58" s="99"/>
    </row>
    <row r="59" spans="1:10" ht="21" x14ac:dyDescent="0.35">
      <c r="A59" s="10" t="s">
        <v>209</v>
      </c>
      <c r="B59" s="15">
        <v>3</v>
      </c>
      <c r="C59" s="15" t="s">
        <v>11</v>
      </c>
      <c r="D59" s="15">
        <v>2562</v>
      </c>
      <c r="G59" s="100" t="s">
        <v>164</v>
      </c>
      <c r="H59" s="100"/>
      <c r="I59" s="100"/>
      <c r="J59" s="100"/>
    </row>
    <row r="61" spans="1:10" ht="20.25" x14ac:dyDescent="0.3">
      <c r="A61" s="39" t="s">
        <v>137</v>
      </c>
    </row>
    <row r="62" spans="1:10" ht="21" x14ac:dyDescent="0.35">
      <c r="A62" s="10" t="s">
        <v>138</v>
      </c>
      <c r="B62" s="99" t="s">
        <v>131</v>
      </c>
      <c r="C62" s="99"/>
      <c r="D62" s="99"/>
    </row>
    <row r="63" spans="1:10" ht="21" x14ac:dyDescent="0.35">
      <c r="A63" s="10" t="s">
        <v>139</v>
      </c>
      <c r="B63" s="15">
        <v>5</v>
      </c>
      <c r="C63" s="15" t="s">
        <v>11</v>
      </c>
      <c r="D63" s="15">
        <v>2562</v>
      </c>
      <c r="G63" s="100" t="s">
        <v>165</v>
      </c>
      <c r="H63" s="100"/>
      <c r="I63" s="100"/>
      <c r="J63" s="100"/>
    </row>
    <row r="65" spans="1:11" ht="20.25" x14ac:dyDescent="0.3">
      <c r="A65" s="39" t="s">
        <v>144</v>
      </c>
    </row>
    <row r="66" spans="1:11" ht="21" x14ac:dyDescent="0.35">
      <c r="A66" s="10" t="s">
        <v>145</v>
      </c>
      <c r="B66" s="15">
        <v>5</v>
      </c>
      <c r="C66" s="15" t="s">
        <v>11</v>
      </c>
      <c r="D66" s="15">
        <v>2562</v>
      </c>
      <c r="G66" s="100" t="s">
        <v>166</v>
      </c>
      <c r="H66" s="100"/>
      <c r="I66" s="100"/>
      <c r="J66" s="100"/>
    </row>
    <row r="68" spans="1:11" ht="20.25" x14ac:dyDescent="0.3">
      <c r="A68" s="39" t="s">
        <v>158</v>
      </c>
    </row>
    <row r="69" spans="1:11" ht="21" x14ac:dyDescent="0.35">
      <c r="A69" s="10" t="s">
        <v>42</v>
      </c>
      <c r="B69" s="99" t="s">
        <v>131</v>
      </c>
      <c r="C69" s="99"/>
      <c r="D69" s="99"/>
    </row>
    <row r="70" spans="1:11" ht="21" x14ac:dyDescent="0.35">
      <c r="A70" s="10" t="s">
        <v>159</v>
      </c>
      <c r="B70" s="15">
        <v>9</v>
      </c>
      <c r="C70" s="15" t="s">
        <v>11</v>
      </c>
      <c r="D70" s="15">
        <v>2562</v>
      </c>
      <c r="G70" s="113" t="s">
        <v>167</v>
      </c>
      <c r="H70" s="114"/>
      <c r="I70" s="114"/>
      <c r="J70" s="114"/>
      <c r="K70" s="114"/>
    </row>
  </sheetData>
  <mergeCells count="57">
    <mergeCell ref="B45:D45"/>
    <mergeCell ref="B46:D46"/>
    <mergeCell ref="B47:D47"/>
    <mergeCell ref="B48:D48"/>
    <mergeCell ref="A1:K1"/>
    <mergeCell ref="B27:C27"/>
    <mergeCell ref="B28:C28"/>
    <mergeCell ref="B31:D31"/>
    <mergeCell ref="B4:D4"/>
    <mergeCell ref="B5:D5"/>
    <mergeCell ref="B6:D6"/>
    <mergeCell ref="B7:D7"/>
    <mergeCell ref="B8:D8"/>
    <mergeCell ref="B21:D21"/>
    <mergeCell ref="B22:D22"/>
    <mergeCell ref="B26:C26"/>
    <mergeCell ref="B18:D18"/>
    <mergeCell ref="B10:D10"/>
    <mergeCell ref="B11:D11"/>
    <mergeCell ref="G26:J26"/>
    <mergeCell ref="B14:D14"/>
    <mergeCell ref="G16:J16"/>
    <mergeCell ref="G15:J15"/>
    <mergeCell ref="B19:D19"/>
    <mergeCell ref="B13:D13"/>
    <mergeCell ref="B9:D9"/>
    <mergeCell ref="B16:D16"/>
    <mergeCell ref="B17:D17"/>
    <mergeCell ref="G70:K70"/>
    <mergeCell ref="G7:J8"/>
    <mergeCell ref="G19:J20"/>
    <mergeCell ref="G43:J44"/>
    <mergeCell ref="B69:D69"/>
    <mergeCell ref="G36:J36"/>
    <mergeCell ref="G52:J52"/>
    <mergeCell ref="G59:J59"/>
    <mergeCell ref="G63:J63"/>
    <mergeCell ref="G66:J66"/>
    <mergeCell ref="B54:D54"/>
    <mergeCell ref="B55:D55"/>
    <mergeCell ref="B58:D58"/>
    <mergeCell ref="B51:D51"/>
    <mergeCell ref="B62:D62"/>
    <mergeCell ref="G17:J17"/>
    <mergeCell ref="G39:J39"/>
    <mergeCell ref="B20:D20"/>
    <mergeCell ref="G32:J32"/>
    <mergeCell ref="G27:J27"/>
    <mergeCell ref="G28:J28"/>
    <mergeCell ref="B53:D53"/>
    <mergeCell ref="B35:D35"/>
    <mergeCell ref="B39:D39"/>
    <mergeCell ref="B40:D40"/>
    <mergeCell ref="B41:D41"/>
    <mergeCell ref="B42:D42"/>
    <mergeCell ref="B44:D44"/>
    <mergeCell ref="B43:D4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300-000000000000}">
          <x14:formula1>
            <xm:f>Data!$A$1:$A$32</xm:f>
          </x14:formula1>
          <xm:sqref>B15 B32 B36 B52 B59 B23 B63 B66 B70</xm:sqref>
        </x14:dataValidation>
        <x14:dataValidation type="list" allowBlank="1" showInputMessage="1" showErrorMessage="1" xr:uid="{00000000-0002-0000-0300-000001000000}">
          <x14:formula1>
            <xm:f>Data!$B$1:$B$13</xm:f>
          </x14:formula1>
          <xm:sqref>C15 C32 C36 C52 C59 C23 C63 C66 C70</xm:sqref>
        </x14:dataValidation>
        <x14:dataValidation type="list" allowBlank="1" showInputMessage="1" showErrorMessage="1" xr:uid="{00000000-0002-0000-0300-000002000000}">
          <x14:formula1>
            <xm:f>Data!$C$1:$C$13</xm:f>
          </x14:formula1>
          <xm:sqref>D15 D32 D36 D52 D59 D23 D63 D66 D70</xm:sqref>
        </x14:dataValidation>
        <x14:dataValidation type="list" allowBlank="1" showInputMessage="1" showErrorMessage="1" xr:uid="{00000000-0002-0000-0300-000003000000}">
          <x14:formula1>
            <xm:f>Data!$D$1:$D$5</xm:f>
          </x14:formula1>
          <xm:sqref>B16:D16</xm:sqref>
        </x14:dataValidation>
        <x14:dataValidation type="list" allowBlank="1" showInputMessage="1" showErrorMessage="1" xr:uid="{00000000-0002-0000-0300-000004000000}">
          <x14:formula1>
            <xm:f>Worklist!$B$2:$B$152</xm:f>
          </x14:formula1>
          <xm:sqref>B17:D17</xm:sqref>
        </x14:dataValidation>
        <x14:dataValidation type="list" allowBlank="1" showInputMessage="1" showErrorMessage="1" xr:uid="{00000000-0002-0000-0300-000005000000}">
          <x14:formula1>
            <xm:f>Data!$F$1:$F$7</xm:f>
          </x14:formula1>
          <xm:sqref>D26:D28</xm:sqref>
        </x14:dataValidation>
        <x14:dataValidation type="list" allowBlank="1" showInputMessage="1" showErrorMessage="1" xr:uid="{00000000-0002-0000-0300-000006000000}">
          <x14:formula1>
            <xm:f>Contractor!$B$3:$B$23</xm:f>
          </x14:formula1>
          <xm:sqref>B39:D39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/>
  </sheetPr>
  <dimension ref="A1:L36"/>
  <sheetViews>
    <sheetView zoomScale="115" zoomScaleNormal="115" workbookViewId="0">
      <selection activeCell="H4" sqref="H4:J4"/>
    </sheetView>
  </sheetViews>
  <sheetFormatPr defaultColWidth="9" defaultRowHeight="19.5" x14ac:dyDescent="0.3"/>
  <cols>
    <col min="1" max="1" width="6.5" style="18" customWidth="1"/>
    <col min="2" max="2" width="5.375" style="18" customWidth="1"/>
    <col min="3" max="3" width="9" style="18"/>
    <col min="4" max="4" width="3.5" style="18" customWidth="1"/>
    <col min="5" max="10" width="9" style="18"/>
    <col min="11" max="11" width="8.5" style="18" customWidth="1"/>
    <col min="12" max="12" width="9" style="18" hidden="1" customWidth="1"/>
    <col min="13" max="16384" width="9" style="18"/>
  </cols>
  <sheetData>
    <row r="1" spans="2:12" x14ac:dyDescent="0.3">
      <c r="E1" s="130" t="s">
        <v>48</v>
      </c>
      <c r="F1" s="130"/>
      <c r="G1" s="130"/>
      <c r="H1" s="130"/>
      <c r="I1" s="130"/>
    </row>
    <row r="2" spans="2:12" x14ac:dyDescent="0.3">
      <c r="E2" s="130"/>
      <c r="F2" s="130"/>
      <c r="G2" s="130"/>
      <c r="H2" s="130"/>
      <c r="I2" s="130"/>
    </row>
    <row r="3" spans="2:12" ht="24.95" customHeight="1" x14ac:dyDescent="0.3">
      <c r="B3" s="19" t="s">
        <v>49</v>
      </c>
      <c r="D3" s="18" t="str">
        <f>Setting!B4</f>
        <v>โรงเรียนบ้านนอกคอกนา</v>
      </c>
      <c r="G3" s="19" t="s">
        <v>30</v>
      </c>
      <c r="H3" s="18" t="str">
        <f>Setting!B6</f>
        <v>สพป.นครราชสีมา เขต 2</v>
      </c>
    </row>
    <row r="4" spans="2:12" x14ac:dyDescent="0.3">
      <c r="B4" s="19" t="s">
        <v>21</v>
      </c>
      <c r="C4" s="131" t="str">
        <f>Setting!B14</f>
        <v>......../63</v>
      </c>
      <c r="D4" s="132"/>
      <c r="E4" s="132"/>
      <c r="F4" s="20"/>
      <c r="G4" s="21" t="s">
        <v>0</v>
      </c>
      <c r="H4" s="133" t="str">
        <f>""&amp;Setting!B15&amp;" "&amp;Setting!C15&amp;" "&amp;Setting!D15&amp;""</f>
        <v>7 พฤศจิกายน 2562</v>
      </c>
      <c r="I4" s="133"/>
      <c r="J4" s="133"/>
    </row>
    <row r="5" spans="2:12" ht="20.100000000000001" customHeight="1" x14ac:dyDescent="0.3">
      <c r="B5" s="19" t="s">
        <v>50</v>
      </c>
      <c r="C5" s="134" t="str">
        <f>"รายงานขอซื้อ "&amp;Setting!B18&amp;""</f>
        <v>รายงานขอซื้อ วัสดุสำนักงานจำนวน 18 รายการ</v>
      </c>
      <c r="D5" s="134"/>
      <c r="E5" s="134"/>
      <c r="F5" s="134"/>
      <c r="G5" s="134"/>
      <c r="H5" s="134"/>
      <c r="I5" s="134"/>
      <c r="J5" s="134"/>
    </row>
    <row r="6" spans="2:12" s="23" customFormat="1" ht="12.95" customHeight="1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</row>
    <row r="7" spans="2:12" s="25" customFormat="1" ht="19.899999999999999" customHeight="1" x14ac:dyDescent="0.2">
      <c r="B7" s="24" t="s">
        <v>51</v>
      </c>
      <c r="C7" s="129" t="str">
        <f>"ผู้อำนวยการ"&amp;Setting!B4&amp;""</f>
        <v>ผู้อำนวยการโรงเรียนบ้านนอกคอกนา</v>
      </c>
      <c r="D7" s="129"/>
      <c r="E7" s="129"/>
      <c r="F7" s="129"/>
      <c r="G7" s="129"/>
      <c r="H7" s="129"/>
      <c r="I7" s="129"/>
      <c r="J7" s="129"/>
      <c r="K7" s="129"/>
    </row>
    <row r="8" spans="2:12" ht="18" customHeight="1" x14ac:dyDescent="0.3">
      <c r="B8" s="136" t="str">
        <f>"         ด้วย "&amp;Setting!B16&amp;" "&amp;Setting!B4&amp;" มีความประสงค์จะขอซื้อ "&amp;Setting!B18&amp;" "&amp;Setting!B19&amp;" ซึ่งได้รับอนุมัติเงินจาก "&amp;Setting!B20&amp;" จำนวน "&amp;TEXT(Setting!B21,"#,##0")&amp;" บาท ("&amp;BAHTTEXT(Setting!B21)&amp;") รายละเอียดดังแนบ"</f>
        <v xml:space="preserve">         ด้วย กลุ่มงานบริหารทั่วไป โรงเรียนบ้านนอกคอกนา มีความประสงค์จะขอซื้อ วัสดุสำนักงานจำนวน 18 รายการ เพื่อใช้ในการจัดการเรียนการสอน ซึ่งได้รับอนุมัติเงินจาก งานบริหารทั่วไป จำนวน 9,153 บาท (เก้าพันหนึ่งร้อยห้าสิบสามบาทถ้วน) รายละเอียดดังแนบ</v>
      </c>
      <c r="C8" s="136"/>
      <c r="D8" s="136"/>
      <c r="E8" s="136"/>
      <c r="F8" s="136"/>
      <c r="G8" s="136"/>
      <c r="H8" s="136"/>
      <c r="I8" s="136"/>
      <c r="J8" s="136"/>
      <c r="K8" s="136"/>
      <c r="L8" s="136"/>
    </row>
    <row r="9" spans="2:12" ht="18" customHeight="1" x14ac:dyDescent="0.3"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</row>
    <row r="10" spans="2:12" ht="18" customHeight="1" x14ac:dyDescent="0.3"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2:12" ht="22.9" customHeight="1" x14ac:dyDescent="0.3">
      <c r="B11" s="136" t="s">
        <v>52</v>
      </c>
      <c r="C11" s="136"/>
      <c r="D11" s="136"/>
      <c r="E11" s="136"/>
      <c r="F11" s="136"/>
      <c r="G11" s="136"/>
      <c r="H11" s="136"/>
      <c r="I11" s="136"/>
      <c r="J11" s="136"/>
      <c r="K11" s="136"/>
      <c r="L11" s="136"/>
    </row>
    <row r="12" spans="2:12" ht="22.9" customHeight="1" x14ac:dyDescent="0.3"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</row>
    <row r="13" spans="2:12" ht="22.9" customHeight="1" x14ac:dyDescent="0.3"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</row>
    <row r="14" spans="2:12" ht="22.9" customHeight="1" x14ac:dyDescent="0.3">
      <c r="B14" s="136"/>
      <c r="C14" s="136"/>
      <c r="D14" s="136"/>
      <c r="E14" s="136"/>
      <c r="F14" s="136"/>
      <c r="G14" s="136"/>
      <c r="H14" s="136"/>
      <c r="I14" s="136"/>
      <c r="J14" s="136"/>
      <c r="K14" s="136"/>
      <c r="L14" s="136"/>
    </row>
    <row r="15" spans="2:12" x14ac:dyDescent="0.3">
      <c r="C15" s="129" t="str">
        <f>"1. เหตุผลและความจำเป็นที่ต้องซื้อ คือ .... "&amp;Setting!B19&amp;" ......."</f>
        <v>1. เหตุผลและความจำเป็นที่ต้องซื้อ คือ .... เพื่อใช้ในการจัดการเรียนการสอน .......</v>
      </c>
      <c r="D15" s="129"/>
      <c r="E15" s="129"/>
      <c r="F15" s="129"/>
      <c r="G15" s="129"/>
      <c r="H15" s="129"/>
      <c r="I15" s="129"/>
      <c r="J15" s="129"/>
      <c r="K15" s="129"/>
      <c r="L15" s="129"/>
    </row>
    <row r="16" spans="2:12" x14ac:dyDescent="0.3">
      <c r="C16" s="137" t="str">
        <f>"2. รายละเอียดพัสดุที่จะขอซื้อ คือ .... "&amp;Setting!B18&amp;" ...."</f>
        <v>2. รายละเอียดพัสดุที่จะขอซื้อ คือ .... วัสดุสำนักงานจำนวน 18 รายการ ....</v>
      </c>
      <c r="D16" s="137"/>
      <c r="E16" s="137"/>
      <c r="F16" s="137"/>
      <c r="G16" s="137"/>
      <c r="H16" s="137"/>
      <c r="I16" s="137"/>
      <c r="J16" s="137"/>
      <c r="K16" s="137"/>
      <c r="L16" s="137"/>
    </row>
    <row r="17" spans="2:12" x14ac:dyDescent="0.3">
      <c r="C17" s="137" t="str">
        <f>"3.  ราคากลางของทางราชการเป็นเงิน ................. - ................. บาท"</f>
        <v>3.  ราคากลางของทางราชการเป็นเงิน ................. - ................. บาท</v>
      </c>
      <c r="D17" s="137"/>
      <c r="E17" s="137"/>
      <c r="F17" s="137"/>
      <c r="G17" s="137"/>
      <c r="H17" s="137"/>
      <c r="I17" s="137"/>
      <c r="J17" s="137"/>
      <c r="K17" s="137"/>
      <c r="L17" s="137"/>
    </row>
    <row r="18" spans="2:12" x14ac:dyDescent="0.3">
      <c r="C18" s="137" t="str">
        <f>"4. วงเงินที่จะขอซื้อครั้งนี้ คือ ..... "&amp;TEXT(Setting!B21,"#,##0")&amp;" บาท ("&amp;BAHTTEXT(Setting!B21)&amp;") ....."</f>
        <v>4. วงเงินที่จะขอซื้อครั้งนี้ คือ ..... 9,153 บาท (เก้าพันหนึ่งร้อยห้าสิบสามบาทถ้วน) .....</v>
      </c>
      <c r="D18" s="137"/>
      <c r="E18" s="137"/>
      <c r="F18" s="137"/>
      <c r="G18" s="137"/>
      <c r="H18" s="137"/>
      <c r="I18" s="137"/>
      <c r="J18" s="137"/>
      <c r="K18" s="137"/>
      <c r="L18" s="137"/>
    </row>
    <row r="19" spans="2:12" x14ac:dyDescent="0.3">
      <c r="C19" s="137" t="str">
        <f>"5. กำหนดเวลาที่ต้องการใช้พัสดุภายใน ..... "&amp;Setting!B22&amp;" .....วัน  นับถัดจากวันลงนามในสัญญา"</f>
        <v>5. กำหนดเวลาที่ต้องการใช้พัสดุภายใน ..... 7 .....วัน  นับถัดจากวันลงนามในสัญญา</v>
      </c>
      <c r="D19" s="137"/>
      <c r="E19" s="137"/>
      <c r="F19" s="137"/>
      <c r="G19" s="137"/>
      <c r="H19" s="137"/>
      <c r="I19" s="137"/>
      <c r="J19" s="137"/>
      <c r="K19" s="137"/>
    </row>
    <row r="20" spans="2:12" ht="18" customHeight="1" x14ac:dyDescent="0.3">
      <c r="C20" s="138" t="s">
        <v>179</v>
      </c>
      <c r="D20" s="138"/>
      <c r="E20" s="138"/>
      <c r="F20" s="138"/>
      <c r="G20" s="138"/>
      <c r="H20" s="138"/>
      <c r="I20" s="138"/>
      <c r="J20" s="138"/>
      <c r="K20" s="138"/>
      <c r="L20" s="138"/>
    </row>
    <row r="21" spans="2:12" ht="18" customHeight="1" x14ac:dyDescent="0.3">
      <c r="C21" s="138"/>
      <c r="D21" s="138"/>
      <c r="E21" s="138"/>
      <c r="F21" s="138"/>
      <c r="G21" s="138"/>
      <c r="H21" s="138"/>
      <c r="I21" s="138"/>
      <c r="J21" s="138"/>
      <c r="K21" s="138"/>
      <c r="L21" s="138"/>
    </row>
    <row r="22" spans="2:12" x14ac:dyDescent="0.3">
      <c r="C22" s="134" t="s">
        <v>53</v>
      </c>
      <c r="D22" s="134"/>
      <c r="E22" s="134"/>
      <c r="F22" s="134"/>
      <c r="G22" s="134"/>
      <c r="H22" s="134"/>
      <c r="I22" s="134"/>
      <c r="J22" s="134"/>
      <c r="K22" s="134"/>
      <c r="L22" s="134"/>
    </row>
    <row r="23" spans="2:12" x14ac:dyDescent="0.3">
      <c r="C23" s="134" t="s">
        <v>54</v>
      </c>
      <c r="D23" s="134"/>
      <c r="E23" s="134"/>
      <c r="F23" s="134"/>
      <c r="G23" s="134"/>
      <c r="H23" s="134"/>
      <c r="I23" s="134"/>
      <c r="J23" s="134"/>
      <c r="K23" s="134"/>
      <c r="L23" s="134"/>
    </row>
    <row r="24" spans="2:12" ht="25.15" customHeight="1" x14ac:dyDescent="0.3">
      <c r="C24" s="139" t="s">
        <v>55</v>
      </c>
      <c r="D24" s="139"/>
      <c r="E24" s="139"/>
      <c r="F24" s="139"/>
      <c r="G24" s="139"/>
      <c r="H24" s="139"/>
      <c r="I24" s="139"/>
      <c r="J24" s="139"/>
      <c r="K24" s="139"/>
      <c r="L24" s="139"/>
    </row>
    <row r="25" spans="2:12" x14ac:dyDescent="0.3">
      <c r="C25" s="134" t="s">
        <v>180</v>
      </c>
      <c r="D25" s="134"/>
      <c r="E25" s="134"/>
      <c r="F25" s="134"/>
      <c r="G25" s="134"/>
      <c r="H25" s="134"/>
      <c r="I25" s="134"/>
      <c r="J25" s="134"/>
      <c r="K25" s="134"/>
      <c r="L25" s="134"/>
    </row>
    <row r="26" spans="2:12" x14ac:dyDescent="0.3">
      <c r="C26" s="137" t="s">
        <v>56</v>
      </c>
      <c r="D26" s="137"/>
      <c r="E26" s="137"/>
      <c r="F26" s="137"/>
      <c r="G26" s="137"/>
      <c r="H26" s="137"/>
      <c r="I26" s="137"/>
      <c r="J26" s="137"/>
      <c r="K26" s="137"/>
      <c r="L26" s="137"/>
    </row>
    <row r="27" spans="2:12" x14ac:dyDescent="0.3">
      <c r="C27" s="129" t="str">
        <f>"               2.1 "&amp;Setting!B26&amp;""</f>
        <v xml:space="preserve">               2.1 สิบตรีวีระวัฒน์ สุขทองหลาง</v>
      </c>
      <c r="D27" s="129"/>
      <c r="E27" s="129"/>
      <c r="F27" s="129"/>
      <c r="G27" s="129"/>
      <c r="H27" s="28" t="str">
        <f>"ตำแหน่ง "&amp;Setting!D26&amp;""</f>
        <v>ตำแหน่ง ครูผู้ช่วย</v>
      </c>
      <c r="I27" s="23"/>
      <c r="J27" s="23"/>
      <c r="K27" s="29" t="s">
        <v>57</v>
      </c>
    </row>
    <row r="28" spans="2:12" ht="19.149999999999999" customHeight="1" x14ac:dyDescent="0.3">
      <c r="C28" s="129" t="str">
        <f>"               2.1 "&amp;Setting!B27&amp;""</f>
        <v xml:space="preserve">               2.1 นายฉัตรชัย สงทามะดัน</v>
      </c>
      <c r="D28" s="129"/>
      <c r="E28" s="129"/>
      <c r="F28" s="129"/>
      <c r="G28" s="129"/>
      <c r="H28" s="28" t="str">
        <f>"ตำแหน่ง "&amp;Setting!D27&amp;""</f>
        <v>ตำแหน่ง ครู</v>
      </c>
      <c r="I28" s="23"/>
      <c r="J28" s="23"/>
      <c r="K28" s="29" t="s">
        <v>58</v>
      </c>
    </row>
    <row r="29" spans="2:12" ht="19.149999999999999" customHeight="1" x14ac:dyDescent="0.3">
      <c r="C29" s="129" t="str">
        <f>"               2.1 "&amp;Setting!B28&amp;""</f>
        <v xml:space="preserve">               2.1 นางสาวนวลพรรณ กลั่นหมอ</v>
      </c>
      <c r="D29" s="129"/>
      <c r="E29" s="129"/>
      <c r="F29" s="129"/>
      <c r="G29" s="129"/>
      <c r="H29" s="28" t="str">
        <f>"ตำแหน่ง "&amp;Setting!D28&amp;""</f>
        <v>ตำแหน่ง ครู</v>
      </c>
      <c r="I29" s="23"/>
      <c r="J29" s="23"/>
      <c r="K29" s="29" t="s">
        <v>58</v>
      </c>
    </row>
    <row r="30" spans="2:12" ht="19.149999999999999" customHeight="1" x14ac:dyDescent="0.3">
      <c r="C30" s="30"/>
      <c r="D30" s="30"/>
      <c r="E30" s="30"/>
      <c r="F30" s="30"/>
      <c r="H30" s="28"/>
      <c r="I30" s="23"/>
      <c r="J30" s="23"/>
      <c r="K30" s="29"/>
    </row>
    <row r="31" spans="2:12" x14ac:dyDescent="0.3">
      <c r="B31" s="141" t="s">
        <v>59</v>
      </c>
      <c r="C31" s="141"/>
      <c r="D31" s="141"/>
      <c r="E31" s="141"/>
      <c r="F31" s="141"/>
      <c r="H31" s="32" t="s">
        <v>60</v>
      </c>
    </row>
    <row r="32" spans="2:12" x14ac:dyDescent="0.3">
      <c r="B32" s="141" t="str">
        <f>" ( "&amp;Setting!B8&amp;" )"</f>
        <v xml:space="preserve"> ( นายฉัตรชัย สงทามะดัน )</v>
      </c>
      <c r="C32" s="141"/>
      <c r="D32" s="141"/>
      <c r="E32" s="141"/>
      <c r="F32" s="141"/>
      <c r="H32" s="32" t="s">
        <v>61</v>
      </c>
    </row>
    <row r="33" spans="1:11" x14ac:dyDescent="0.3">
      <c r="G33" s="18" t="s">
        <v>62</v>
      </c>
      <c r="H33" s="141" t="s">
        <v>63</v>
      </c>
      <c r="I33" s="141"/>
      <c r="J33" s="141"/>
      <c r="K33" s="141"/>
    </row>
    <row r="34" spans="1:11" x14ac:dyDescent="0.3">
      <c r="B34" s="141" t="s">
        <v>64</v>
      </c>
      <c r="C34" s="141"/>
      <c r="D34" s="141"/>
      <c r="E34" s="141"/>
      <c r="F34" s="141"/>
      <c r="G34" s="23"/>
      <c r="H34" s="142" t="str">
        <f>" ( "&amp;Setting!B11&amp;" )"</f>
        <v xml:space="preserve"> ( นายสมเด็จ ภิญโญยาง )</v>
      </c>
      <c r="I34" s="142"/>
      <c r="J34" s="142"/>
      <c r="K34" s="142"/>
    </row>
    <row r="35" spans="1:11" x14ac:dyDescent="0.3">
      <c r="B35" s="141" t="str">
        <f>" ( "&amp;Setting!B9&amp;" )"</f>
        <v xml:space="preserve"> ( นายสมเด็จ ภิญโญยาง )</v>
      </c>
      <c r="C35" s="141"/>
      <c r="D35" s="141"/>
      <c r="E35" s="141"/>
      <c r="F35" s="141"/>
      <c r="H35" s="141" t="str">
        <f>"ผู้อำนวยการ"&amp;Setting!B4&amp;""</f>
        <v>ผู้อำนวยการโรงเรียนบ้านนอกคอกนา</v>
      </c>
      <c r="I35" s="141"/>
      <c r="J35" s="141"/>
      <c r="K35" s="141"/>
    </row>
    <row r="36" spans="1:11" x14ac:dyDescent="0.3">
      <c r="A36" s="23"/>
      <c r="B36" s="23"/>
      <c r="C36" s="23"/>
      <c r="D36" s="23"/>
      <c r="E36" s="23"/>
      <c r="F36" s="23"/>
      <c r="G36" s="34"/>
      <c r="H36" s="140" t="str">
        <f>""&amp;Setting!B15&amp;" "&amp;Setting!C15&amp;" "&amp;Setting!D15&amp;""</f>
        <v>7 พฤศจิกายน 2562</v>
      </c>
      <c r="I36" s="140"/>
      <c r="J36" s="140"/>
      <c r="K36" s="140"/>
    </row>
  </sheetData>
  <sheetProtection algorithmName="SHA-512" hashValue="fgxFNdQ2V69FyVZxUSKwwowExURg/K5e45Hggt56r2fiW5Fw2f2cQvyp0++8xPM5bumKPEUA1A9SWkDG+LSo5A==" saltValue="I9iyHlJdUY3EIXLJjjPEyw==" spinCount="100000" sheet="1" objects="1" scenarios="1"/>
  <mergeCells count="30">
    <mergeCell ref="H36:K36"/>
    <mergeCell ref="C26:L26"/>
    <mergeCell ref="C27:G27"/>
    <mergeCell ref="C28:G28"/>
    <mergeCell ref="C29:G29"/>
    <mergeCell ref="B31:F31"/>
    <mergeCell ref="B32:F32"/>
    <mergeCell ref="H33:K33"/>
    <mergeCell ref="B34:F34"/>
    <mergeCell ref="H34:K34"/>
    <mergeCell ref="B35:F35"/>
    <mergeCell ref="H35:K35"/>
    <mergeCell ref="C25:L25"/>
    <mergeCell ref="B8:L10"/>
    <mergeCell ref="B11:L14"/>
    <mergeCell ref="C15:L15"/>
    <mergeCell ref="C16:L16"/>
    <mergeCell ref="C17:L17"/>
    <mergeCell ref="C18:L18"/>
    <mergeCell ref="C19:K19"/>
    <mergeCell ref="C20:L21"/>
    <mergeCell ref="C22:L22"/>
    <mergeCell ref="C23:L23"/>
    <mergeCell ref="C24:L24"/>
    <mergeCell ref="C7:K7"/>
    <mergeCell ref="E1:I2"/>
    <mergeCell ref="C4:E4"/>
    <mergeCell ref="H4:J4"/>
    <mergeCell ref="C5:J5"/>
    <mergeCell ref="B6:L6"/>
  </mergeCells>
  <pageMargins left="0.23622047244094491" right="0.23622047244094491" top="0.35433070866141736" bottom="0.74803149606299213" header="0.31496062992125984" footer="0.31496062992125984"/>
  <pageSetup paperSize="9" orientation="portrait" blackAndWhite="1" horizont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8" tint="-0.499984740745262"/>
  </sheetPr>
  <dimension ref="B1:L30"/>
  <sheetViews>
    <sheetView workbookViewId="0">
      <selection activeCell="E30" sqref="E30:H30"/>
    </sheetView>
  </sheetViews>
  <sheetFormatPr defaultColWidth="9" defaultRowHeight="19.5" x14ac:dyDescent="0.3"/>
  <cols>
    <col min="1" max="1" width="1.625" style="18" customWidth="1"/>
    <col min="2" max="2" width="3.75" style="55" customWidth="1"/>
    <col min="3" max="3" width="41.375" style="18" customWidth="1"/>
    <col min="4" max="4" width="6" style="18" customWidth="1"/>
    <col min="5" max="5" width="8.375" style="18" customWidth="1"/>
    <col min="6" max="6" width="10.25" style="18" customWidth="1"/>
    <col min="7" max="7" width="9.625" style="18" customWidth="1"/>
    <col min="8" max="8" width="12" style="18" customWidth="1"/>
    <col min="9" max="9" width="11.125" style="18" customWidth="1"/>
    <col min="10" max="10" width="14.625" style="18" customWidth="1"/>
    <col min="11" max="16384" width="9" style="18"/>
  </cols>
  <sheetData>
    <row r="1" spans="2:12" x14ac:dyDescent="0.3">
      <c r="B1" s="144" t="str">
        <f>"รายละเอียดแนบท้ายบันทึกข้อความที่ "&amp;Setting!B14&amp;" ลงวันที่ "&amp;Setting!B15&amp;" "&amp;Setting!C15&amp;" "&amp;Setting!D15&amp;""</f>
        <v>รายละเอียดแนบท้ายบันทึกข้อความที่ ......../63 ลงวันที่ 7 พฤศจิกายน 2562</v>
      </c>
      <c r="C1" s="144"/>
      <c r="D1" s="144"/>
      <c r="E1" s="144"/>
      <c r="F1" s="144"/>
      <c r="G1" s="144"/>
      <c r="H1" s="144"/>
      <c r="I1" s="59"/>
      <c r="J1" s="23"/>
    </row>
    <row r="2" spans="2:12" x14ac:dyDescent="0.3">
      <c r="B2" s="145" t="str">
        <f>"งานจัดซื้อพัสดุ จำนวน   "&amp;COUNTA(C6:C25)&amp;"   รายการ"</f>
        <v>งานจัดซื้อพัสดุ จำนวน   6   รายการ</v>
      </c>
      <c r="C2" s="145"/>
      <c r="D2" s="145"/>
      <c r="E2" s="145"/>
      <c r="F2" s="145"/>
      <c r="G2" s="145"/>
      <c r="H2" s="145"/>
      <c r="I2" s="19"/>
      <c r="J2" s="60" t="s">
        <v>181</v>
      </c>
      <c r="K2" s="61">
        <f>COUNTA(C6:C25)</f>
        <v>6</v>
      </c>
      <c r="L2" s="60" t="s">
        <v>104</v>
      </c>
    </row>
    <row r="3" spans="2:12" ht="8.4499999999999993" customHeight="1" x14ac:dyDescent="0.3">
      <c r="B3" s="62"/>
      <c r="C3" s="62"/>
      <c r="D3" s="62"/>
      <c r="E3" s="62"/>
      <c r="F3" s="62"/>
      <c r="G3" s="62"/>
      <c r="H3" s="62"/>
      <c r="I3" s="19"/>
      <c r="K3" s="56"/>
    </row>
    <row r="4" spans="2:12" ht="20.25" customHeight="1" x14ac:dyDescent="0.3">
      <c r="B4" s="146" t="s">
        <v>21</v>
      </c>
      <c r="C4" s="146" t="s">
        <v>182</v>
      </c>
      <c r="D4" s="146" t="s">
        <v>105</v>
      </c>
      <c r="E4" s="146" t="s">
        <v>106</v>
      </c>
      <c r="F4" s="147" t="s">
        <v>211</v>
      </c>
      <c r="G4" s="149" t="s">
        <v>183</v>
      </c>
      <c r="H4" s="150"/>
    </row>
    <row r="5" spans="2:12" ht="69" customHeight="1" x14ac:dyDescent="0.3">
      <c r="B5" s="146"/>
      <c r="C5" s="146"/>
      <c r="D5" s="146"/>
      <c r="E5" s="146"/>
      <c r="F5" s="148"/>
      <c r="G5" s="63" t="s">
        <v>184</v>
      </c>
      <c r="H5" s="63" t="s">
        <v>160</v>
      </c>
    </row>
    <row r="6" spans="2:12" x14ac:dyDescent="0.3">
      <c r="B6" s="58">
        <v>1</v>
      </c>
      <c r="C6" s="74" t="s">
        <v>215</v>
      </c>
      <c r="D6" s="64">
        <v>3</v>
      </c>
      <c r="E6" s="58" t="s">
        <v>212</v>
      </c>
      <c r="F6" s="57">
        <v>630</v>
      </c>
      <c r="G6" s="65">
        <f>F6</f>
        <v>630</v>
      </c>
      <c r="H6" s="66">
        <f>D6*G6</f>
        <v>1890</v>
      </c>
    </row>
    <row r="7" spans="2:12" x14ac:dyDescent="0.3">
      <c r="B7" s="58">
        <v>2</v>
      </c>
      <c r="C7" s="74" t="s">
        <v>216</v>
      </c>
      <c r="D7" s="64">
        <v>2</v>
      </c>
      <c r="E7" s="58" t="s">
        <v>217</v>
      </c>
      <c r="F7" s="57">
        <v>120</v>
      </c>
      <c r="G7" s="65">
        <f>F7</f>
        <v>120</v>
      </c>
      <c r="H7" s="66">
        <f>D7*G7</f>
        <v>240</v>
      </c>
    </row>
    <row r="8" spans="2:12" x14ac:dyDescent="0.3">
      <c r="B8" s="67">
        <v>3</v>
      </c>
      <c r="C8" s="74" t="s">
        <v>218</v>
      </c>
      <c r="D8" s="64">
        <v>2</v>
      </c>
      <c r="E8" s="76" t="s">
        <v>217</v>
      </c>
      <c r="F8" s="75">
        <v>120</v>
      </c>
      <c r="G8" s="65">
        <f t="shared" ref="G8:G11" si="0">F8</f>
        <v>120</v>
      </c>
      <c r="H8" s="66">
        <f t="shared" ref="H8:H11" si="1">D8*G8</f>
        <v>240</v>
      </c>
    </row>
    <row r="9" spans="2:12" x14ac:dyDescent="0.3">
      <c r="B9" s="67">
        <v>4</v>
      </c>
      <c r="C9" s="74" t="s">
        <v>219</v>
      </c>
      <c r="D9" s="68">
        <v>2</v>
      </c>
      <c r="E9" s="76" t="s">
        <v>217</v>
      </c>
      <c r="F9" s="75">
        <v>120</v>
      </c>
      <c r="G9" s="65">
        <f t="shared" si="0"/>
        <v>120</v>
      </c>
      <c r="H9" s="66">
        <f t="shared" si="1"/>
        <v>240</v>
      </c>
    </row>
    <row r="10" spans="2:12" x14ac:dyDescent="0.3">
      <c r="B10" s="67">
        <v>5</v>
      </c>
      <c r="C10" s="74" t="s">
        <v>220</v>
      </c>
      <c r="D10" s="68">
        <v>2</v>
      </c>
      <c r="E10" s="76" t="s">
        <v>217</v>
      </c>
      <c r="F10" s="75">
        <v>120</v>
      </c>
      <c r="G10" s="65">
        <f t="shared" si="0"/>
        <v>120</v>
      </c>
      <c r="H10" s="66">
        <f t="shared" si="1"/>
        <v>240</v>
      </c>
    </row>
    <row r="11" spans="2:12" x14ac:dyDescent="0.3">
      <c r="B11" s="67">
        <v>6</v>
      </c>
      <c r="C11" s="77" t="s">
        <v>221</v>
      </c>
      <c r="D11" s="68">
        <v>2</v>
      </c>
      <c r="E11" s="67" t="s">
        <v>217</v>
      </c>
      <c r="F11" s="69">
        <v>250</v>
      </c>
      <c r="G11" s="71">
        <f t="shared" si="0"/>
        <v>250</v>
      </c>
      <c r="H11" s="72">
        <f t="shared" si="1"/>
        <v>500</v>
      </c>
    </row>
    <row r="12" spans="2:12" x14ac:dyDescent="0.3">
      <c r="B12" s="67"/>
      <c r="C12" s="77"/>
      <c r="D12" s="68"/>
      <c r="E12" s="67"/>
      <c r="F12" s="69"/>
      <c r="G12" s="71"/>
      <c r="H12" s="72"/>
    </row>
    <row r="13" spans="2:12" x14ac:dyDescent="0.3">
      <c r="B13" s="67"/>
      <c r="C13" s="70"/>
      <c r="D13" s="68"/>
      <c r="E13" s="67"/>
      <c r="F13" s="69"/>
      <c r="G13" s="71"/>
      <c r="H13" s="72"/>
    </row>
    <row r="14" spans="2:12" x14ac:dyDescent="0.3">
      <c r="B14" s="67"/>
      <c r="C14" s="70"/>
      <c r="D14" s="68"/>
      <c r="E14" s="67"/>
      <c r="F14" s="69"/>
      <c r="G14" s="71"/>
      <c r="H14" s="72"/>
    </row>
    <row r="15" spans="2:12" x14ac:dyDescent="0.3">
      <c r="B15" s="67"/>
      <c r="C15" s="70"/>
      <c r="D15" s="68"/>
      <c r="E15" s="67"/>
      <c r="F15" s="69"/>
      <c r="G15" s="71"/>
      <c r="H15" s="72"/>
    </row>
    <row r="16" spans="2:12" x14ac:dyDescent="0.3">
      <c r="B16" s="67"/>
      <c r="C16" s="70"/>
      <c r="D16" s="68"/>
      <c r="E16" s="67"/>
      <c r="F16" s="69"/>
      <c r="G16" s="71"/>
      <c r="H16" s="72"/>
    </row>
    <row r="17" spans="2:12" x14ac:dyDescent="0.3">
      <c r="B17" s="67"/>
      <c r="C17" s="70"/>
      <c r="D17" s="68"/>
      <c r="E17" s="67"/>
      <c r="F17" s="69"/>
      <c r="G17" s="71"/>
      <c r="H17" s="72"/>
    </row>
    <row r="18" spans="2:12" x14ac:dyDescent="0.3">
      <c r="B18" s="67"/>
      <c r="C18" s="70"/>
      <c r="D18" s="68"/>
      <c r="E18" s="67"/>
      <c r="F18" s="69"/>
      <c r="G18" s="71"/>
      <c r="H18" s="72"/>
    </row>
    <row r="19" spans="2:12" x14ac:dyDescent="0.3">
      <c r="B19" s="67"/>
      <c r="C19" s="70"/>
      <c r="D19" s="68"/>
      <c r="E19" s="67"/>
      <c r="F19" s="69"/>
      <c r="G19" s="71"/>
      <c r="H19" s="72"/>
    </row>
    <row r="20" spans="2:12" x14ac:dyDescent="0.3">
      <c r="B20" s="67"/>
      <c r="C20" s="70"/>
      <c r="D20" s="68"/>
      <c r="E20" s="67"/>
      <c r="F20" s="69"/>
      <c r="G20" s="71"/>
      <c r="H20" s="72"/>
    </row>
    <row r="21" spans="2:12" x14ac:dyDescent="0.3">
      <c r="B21" s="67"/>
      <c r="C21" s="70"/>
      <c r="D21" s="68"/>
      <c r="E21" s="67"/>
      <c r="F21" s="69"/>
      <c r="G21" s="71"/>
      <c r="H21" s="72"/>
    </row>
    <row r="22" spans="2:12" x14ac:dyDescent="0.3">
      <c r="B22" s="67"/>
      <c r="C22" s="70"/>
      <c r="D22" s="68"/>
      <c r="E22" s="67"/>
      <c r="F22" s="69"/>
      <c r="G22" s="71"/>
      <c r="H22" s="72"/>
    </row>
    <row r="23" spans="2:12" x14ac:dyDescent="0.3">
      <c r="B23" s="67"/>
      <c r="C23" s="70"/>
      <c r="D23" s="68"/>
      <c r="E23" s="67"/>
      <c r="F23" s="69"/>
      <c r="G23" s="71"/>
      <c r="H23" s="72"/>
    </row>
    <row r="24" spans="2:12" x14ac:dyDescent="0.3">
      <c r="B24" s="67"/>
      <c r="C24" s="70"/>
      <c r="D24" s="68"/>
      <c r="E24" s="67"/>
      <c r="F24" s="69"/>
      <c r="G24" s="71"/>
      <c r="H24" s="72"/>
    </row>
    <row r="25" spans="2:12" x14ac:dyDescent="0.3">
      <c r="B25" s="67"/>
      <c r="C25" s="70"/>
      <c r="D25" s="68"/>
      <c r="E25" s="67"/>
      <c r="F25" s="69"/>
      <c r="G25" s="71"/>
      <c r="H25" s="72"/>
    </row>
    <row r="26" spans="2:12" x14ac:dyDescent="0.3">
      <c r="B26" s="143" t="str">
        <f>"รวมเป็นเงินทั้งสิ้น ("&amp;BAHTTEXT(H26)&amp;")"</f>
        <v>รวมเป็นเงินทั้งสิ้น (สามพันสามร้อยห้าสิบบาทถ้วน)</v>
      </c>
      <c r="C26" s="143"/>
      <c r="D26" s="143"/>
      <c r="E26" s="143"/>
      <c r="F26" s="143"/>
      <c r="G26" s="143"/>
      <c r="H26" s="73">
        <f>SUM(H6:H25)</f>
        <v>3350</v>
      </c>
    </row>
    <row r="29" spans="2:12" x14ac:dyDescent="0.3">
      <c r="B29" s="18"/>
      <c r="C29" s="56" t="s">
        <v>185</v>
      </c>
      <c r="E29" s="141" t="s">
        <v>186</v>
      </c>
      <c r="F29" s="141"/>
      <c r="G29" s="141"/>
      <c r="H29" s="141"/>
      <c r="I29" s="141"/>
      <c r="J29" s="141"/>
      <c r="K29" s="141"/>
      <c r="L29" s="141"/>
    </row>
    <row r="30" spans="2:12" x14ac:dyDescent="0.3">
      <c r="B30" s="18"/>
      <c r="C30" s="56" t="str">
        <f>" ( "&amp;Setting!B8&amp;" )"</f>
        <v xml:space="preserve"> ( นายฉัตรชัย สงทามะดัน )</v>
      </c>
      <c r="E30" s="142" t="str">
        <f>"( "&amp;Setting!B9&amp;" )"</f>
        <v>( นายสมเด็จ ภิญโญยาง )</v>
      </c>
      <c r="F30" s="142"/>
      <c r="G30" s="142"/>
      <c r="H30" s="142"/>
      <c r="I30" s="142"/>
      <c r="J30" s="142"/>
      <c r="K30" s="142"/>
      <c r="L30" s="142"/>
    </row>
  </sheetData>
  <mergeCells count="13">
    <mergeCell ref="B1:H1"/>
    <mergeCell ref="B2:H2"/>
    <mergeCell ref="B4:B5"/>
    <mergeCell ref="C4:C5"/>
    <mergeCell ref="D4:D5"/>
    <mergeCell ref="E4:E5"/>
    <mergeCell ref="F4:F5"/>
    <mergeCell ref="G4:H4"/>
    <mergeCell ref="B26:G26"/>
    <mergeCell ref="E29:H29"/>
    <mergeCell ref="I29:L29"/>
    <mergeCell ref="E30:H30"/>
    <mergeCell ref="I30:L30"/>
  </mergeCells>
  <pageMargins left="0.25" right="0.25" top="0.75" bottom="0.75" header="0.3" footer="0.3"/>
  <pageSetup paperSize="9"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 tint="-0.249977111117893"/>
  </sheetPr>
  <dimension ref="A5:I33"/>
  <sheetViews>
    <sheetView workbookViewId="0">
      <selection activeCell="E32" sqref="E32:I32"/>
    </sheetView>
  </sheetViews>
  <sheetFormatPr defaultColWidth="8.75" defaultRowHeight="19.5" x14ac:dyDescent="0.3"/>
  <cols>
    <col min="1" max="8" width="8.75" style="18"/>
    <col min="9" max="9" width="11.75" style="18" customWidth="1"/>
    <col min="10" max="16384" width="8.75" style="18"/>
  </cols>
  <sheetData>
    <row r="5" spans="1:9" ht="10.15" customHeight="1" x14ac:dyDescent="0.3"/>
    <row r="6" spans="1:9" x14ac:dyDescent="0.3">
      <c r="A6" s="152" t="str">
        <f>"คำสั่ง"&amp;Setting!B4&amp;""</f>
        <v>คำสั่งโรงเรียนบ้านนอกคอกนา</v>
      </c>
      <c r="B6" s="152"/>
      <c r="C6" s="152"/>
      <c r="D6" s="152"/>
      <c r="E6" s="152"/>
      <c r="F6" s="152"/>
      <c r="G6" s="152"/>
      <c r="H6" s="152"/>
      <c r="I6" s="152"/>
    </row>
    <row r="7" spans="1:9" x14ac:dyDescent="0.3">
      <c r="A7" s="152" t="str">
        <f>"ที่ "&amp;Setting!B31&amp;""</f>
        <v>ที่ ......../2562</v>
      </c>
      <c r="B7" s="152"/>
      <c r="C7" s="152"/>
      <c r="D7" s="152"/>
      <c r="E7" s="152"/>
      <c r="F7" s="152"/>
      <c r="G7" s="152"/>
      <c r="H7" s="152"/>
      <c r="I7" s="152"/>
    </row>
    <row r="8" spans="1:9" ht="38.1" customHeight="1" x14ac:dyDescent="0.3">
      <c r="A8" s="153" t="str">
        <f>"เรื่อง แต่งตั้งคณะกรรมการตรวจรับพัสดุ สำหรับการซื้อ"&amp;Setting!B18&amp;" 
โดยวิธีเฉพาะเจาะจง"</f>
        <v>เรื่อง แต่งตั้งคณะกรรมการตรวจรับพัสดุ สำหรับการซื้อวัสดุสำนักงานจำนวน 18 รายการ 
โดยวิธีเฉพาะเจาะจง</v>
      </c>
      <c r="B8" s="153"/>
      <c r="C8" s="153"/>
      <c r="D8" s="153"/>
      <c r="E8" s="153"/>
      <c r="F8" s="153"/>
      <c r="G8" s="153"/>
      <c r="H8" s="153"/>
      <c r="I8" s="153"/>
    </row>
    <row r="9" spans="1:9" ht="15" customHeight="1" x14ac:dyDescent="0.3">
      <c r="A9" s="153"/>
      <c r="B9" s="153"/>
      <c r="C9" s="153"/>
      <c r="D9" s="153"/>
      <c r="E9" s="153"/>
      <c r="F9" s="153"/>
      <c r="G9" s="153"/>
      <c r="H9" s="153"/>
      <c r="I9" s="153"/>
    </row>
    <row r="10" spans="1:9" x14ac:dyDescent="0.3">
      <c r="A10" s="136" t="str">
        <f>"               ด้วย"&amp;Setting!B4&amp;" มีความประสงค์จะจัดซื้อ"&amp;Setting!B18&amp;" โดยวิธีเฉพาะเจาะจง และเพื่อให้เป็นไปตามพระราชบัญญัติการจัดซื้อจัดจ้างและการบริหารพัสดุภาครัฐ พ.ศ. 2560 มาตรา 61 ประกอบกับระเบียบกระทรวงการคลังว่าด้วยหลักเกณฑ์การจัดซื้อจัดจ้างและการบริหารพัสดุภาครัฐ พ.ศ. 2560 ข้อ 25 (5) "&amp; "จึงขอแต่งตั้งรายชื่อต่อไปนี้เป็นคณะกรรมการตรวจรับพัสดุสำหรับการจัดซื้อ"&amp;Setting!B18&amp;" ดังรายชื่อต่อไปนี้"</f>
        <v xml:space="preserve">               ด้วยโรงเรียนบ้านนอกคอกนา มีความประสงค์จะจัดซื้อวัสดุสำนักงานจำนวน 18 รายการ โดยวิธีเฉพาะเจาะจง และเพื่อให้เป็นไปตามพระราชบัญญัติการจัดซื้อจัดจ้างและการบริหารพัสดุภาครัฐ พ.ศ. 2560 มาตรา 61 ประกอบกับระเบียบกระทรวงการคลังว่าด้วยหลักเกณฑ์การจัดซื้อจัดจ้างและการบริหารพัสดุภาครัฐ พ.ศ. 2560 ข้อ 25 (5) จึงขอแต่งตั้งรายชื่อต่อไปนี้เป็นคณะกรรมการตรวจรับพัสดุสำหรับการจัดซื้อวัสดุสำนักงานจำนวน 18 รายการ ดังรายชื่อต่อไปนี้</v>
      </c>
      <c r="B10" s="136"/>
      <c r="C10" s="136"/>
      <c r="D10" s="136"/>
      <c r="E10" s="136"/>
      <c r="F10" s="136"/>
      <c r="G10" s="136"/>
      <c r="H10" s="136"/>
      <c r="I10" s="136"/>
    </row>
    <row r="11" spans="1:9" x14ac:dyDescent="0.3">
      <c r="A11" s="136"/>
      <c r="B11" s="136"/>
      <c r="C11" s="136"/>
      <c r="D11" s="136"/>
      <c r="E11" s="136"/>
      <c r="F11" s="136"/>
      <c r="G11" s="136"/>
      <c r="H11" s="136"/>
      <c r="I11" s="136"/>
    </row>
    <row r="12" spans="1:9" x14ac:dyDescent="0.3">
      <c r="A12" s="136"/>
      <c r="B12" s="136"/>
      <c r="C12" s="136"/>
      <c r="D12" s="136"/>
      <c r="E12" s="136"/>
      <c r="F12" s="136"/>
      <c r="G12" s="136"/>
      <c r="H12" s="136"/>
      <c r="I12" s="136"/>
    </row>
    <row r="13" spans="1:9" ht="34.5" customHeight="1" x14ac:dyDescent="0.3">
      <c r="A13" s="136"/>
      <c r="B13" s="136"/>
      <c r="C13" s="136"/>
      <c r="D13" s="136"/>
      <c r="E13" s="136"/>
      <c r="F13" s="136"/>
      <c r="G13" s="136"/>
      <c r="H13" s="136"/>
      <c r="I13" s="136"/>
    </row>
    <row r="14" spans="1:9" x14ac:dyDescent="0.3">
      <c r="A14" s="38" t="s">
        <v>75</v>
      </c>
    </row>
    <row r="15" spans="1:9" x14ac:dyDescent="0.3">
      <c r="A15" s="28" t="str">
        <f>"               1. "&amp;Setting!B26&amp;""</f>
        <v xml:space="preserve">               1. สิบตรีวีระวัฒน์ สุขทองหลาง</v>
      </c>
      <c r="B15" s="28"/>
      <c r="C15" s="28"/>
      <c r="D15" s="28"/>
      <c r="F15" s="28" t="str">
        <f>"ตำแหน่ง "&amp;Setting!D26&amp;""</f>
        <v>ตำแหน่ง ครูผู้ช่วย</v>
      </c>
      <c r="H15" s="23"/>
      <c r="I15" s="29" t="s">
        <v>57</v>
      </c>
    </row>
    <row r="16" spans="1:9" ht="19.149999999999999" customHeight="1" x14ac:dyDescent="0.3">
      <c r="A16" s="28" t="str">
        <f>"               2. "&amp;Setting!B27&amp;""</f>
        <v xml:space="preserve">               2. นายฉัตรชัย สงทามะดัน</v>
      </c>
      <c r="B16" s="28"/>
      <c r="C16" s="28"/>
      <c r="D16" s="28"/>
      <c r="F16" s="28" t="str">
        <f>"ตำแหน่ง "&amp;Setting!D27&amp;""</f>
        <v>ตำแหน่ง ครู</v>
      </c>
      <c r="H16" s="23"/>
      <c r="I16" s="29" t="s">
        <v>58</v>
      </c>
    </row>
    <row r="17" spans="1:9" ht="19.149999999999999" customHeight="1" x14ac:dyDescent="0.3">
      <c r="A17" s="28" t="str">
        <f>"               3. "&amp;Setting!B28&amp;""</f>
        <v xml:space="preserve">               3. นางสาวนวลพรรณ กลั่นหมอ</v>
      </c>
      <c r="B17" s="28"/>
      <c r="C17" s="28"/>
      <c r="D17" s="28"/>
      <c r="F17" s="28" t="str">
        <f>"ตำแหน่ง "&amp;Setting!D28&amp;""</f>
        <v>ตำแหน่ง ครู</v>
      </c>
      <c r="H17" s="23"/>
      <c r="I17" s="29" t="s">
        <v>58</v>
      </c>
    </row>
    <row r="18" spans="1:9" ht="10.15" customHeight="1" x14ac:dyDescent="0.3">
      <c r="A18" s="28"/>
      <c r="B18" s="28"/>
      <c r="C18" s="28"/>
      <c r="D18" s="28"/>
      <c r="F18" s="28"/>
      <c r="H18" s="23"/>
      <c r="I18" s="29"/>
    </row>
    <row r="19" spans="1:9" x14ac:dyDescent="0.3">
      <c r="A19" s="19" t="s">
        <v>76</v>
      </c>
    </row>
    <row r="20" spans="1:9" x14ac:dyDescent="0.3">
      <c r="A20" s="136" t="s">
        <v>77</v>
      </c>
      <c r="B20" s="136"/>
      <c r="C20" s="136"/>
      <c r="D20" s="136"/>
      <c r="E20" s="136"/>
      <c r="F20" s="136"/>
      <c r="G20" s="136"/>
      <c r="H20" s="136"/>
      <c r="I20" s="136"/>
    </row>
    <row r="21" spans="1:9" x14ac:dyDescent="0.3">
      <c r="A21" s="136"/>
      <c r="B21" s="136"/>
      <c r="C21" s="136"/>
      <c r="D21" s="136"/>
      <c r="E21" s="136"/>
      <c r="F21" s="136"/>
      <c r="G21" s="136"/>
      <c r="H21" s="136"/>
      <c r="I21" s="136"/>
    </row>
    <row r="22" spans="1:9" x14ac:dyDescent="0.3">
      <c r="A22" s="136"/>
      <c r="B22" s="136"/>
      <c r="C22" s="136"/>
      <c r="D22" s="136"/>
      <c r="E22" s="136"/>
      <c r="F22" s="136"/>
      <c r="G22" s="136"/>
      <c r="H22" s="136"/>
      <c r="I22" s="136"/>
    </row>
    <row r="23" spans="1:9" ht="12" customHeight="1" x14ac:dyDescent="0.3">
      <c r="A23" s="136"/>
      <c r="B23" s="136"/>
      <c r="C23" s="136"/>
      <c r="D23" s="136"/>
      <c r="E23" s="136"/>
      <c r="F23" s="136"/>
      <c r="G23" s="136"/>
      <c r="H23" s="136"/>
      <c r="I23" s="136"/>
    </row>
    <row r="24" spans="1:9" x14ac:dyDescent="0.3">
      <c r="B24" s="18" t="s">
        <v>78</v>
      </c>
    </row>
    <row r="25" spans="1:9" ht="10.15" customHeight="1" x14ac:dyDescent="0.3"/>
    <row r="26" spans="1:9" x14ac:dyDescent="0.3">
      <c r="E26" s="18" t="str">
        <f>"สั่ง ณ วันที่ "&amp;Setting!B32&amp;" เดือน "&amp;Setting!C32&amp;" พ.ศ. "&amp;Setting!D32&amp;""</f>
        <v>สั่ง ณ วันที่ 7 เดือน พฤศจิกายน พ.ศ. 2562</v>
      </c>
    </row>
    <row r="30" spans="1:9" x14ac:dyDescent="0.3">
      <c r="E30" s="141" t="s">
        <v>79</v>
      </c>
      <c r="F30" s="141"/>
      <c r="G30" s="141"/>
      <c r="H30" s="141"/>
      <c r="I30" s="141"/>
    </row>
    <row r="31" spans="1:9" x14ac:dyDescent="0.3">
      <c r="E31" s="141" t="str">
        <f>"( "&amp;Setting!B11&amp;" )"</f>
        <v>( นายสมเด็จ ภิญโญยาง )</v>
      </c>
      <c r="F31" s="141"/>
      <c r="G31" s="141"/>
      <c r="H31" s="141"/>
      <c r="I31" s="141"/>
    </row>
    <row r="32" spans="1:9" ht="19.149999999999999" customHeight="1" x14ac:dyDescent="0.3">
      <c r="E32" s="151" t="str">
        <f>"ตำแหน่ง ผู้อำนวยการ"&amp;Setting!B4&amp;""</f>
        <v>ตำแหน่ง ผู้อำนวยการโรงเรียนบ้านนอกคอกนา</v>
      </c>
      <c r="F32" s="151"/>
      <c r="G32" s="151"/>
      <c r="H32" s="151"/>
      <c r="I32" s="151"/>
    </row>
    <row r="33" ht="19.5" customHeight="1" x14ac:dyDescent="0.3"/>
  </sheetData>
  <mergeCells count="9">
    <mergeCell ref="E30:I30"/>
    <mergeCell ref="E31:I31"/>
    <mergeCell ref="E32:I32"/>
    <mergeCell ref="A6:I6"/>
    <mergeCell ref="A7:I7"/>
    <mergeCell ref="A8:I8"/>
    <mergeCell ref="A9:I9"/>
    <mergeCell ref="A10:I13"/>
    <mergeCell ref="A20:I23"/>
  </mergeCells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tabColor rgb="FFFF0000"/>
  </sheetPr>
  <dimension ref="A1:I23"/>
  <sheetViews>
    <sheetView workbookViewId="0">
      <selection activeCell="B18" sqref="B18"/>
    </sheetView>
  </sheetViews>
  <sheetFormatPr defaultColWidth="8.75" defaultRowHeight="19.5" x14ac:dyDescent="0.3"/>
  <cols>
    <col min="1" max="7" width="8.75" style="18"/>
    <col min="8" max="9" width="9.375" style="18" bestFit="1" customWidth="1"/>
    <col min="10" max="16384" width="8.75" style="18"/>
  </cols>
  <sheetData>
    <row r="1" spans="1:9" ht="26.25" x14ac:dyDescent="0.3">
      <c r="A1" s="158" t="s">
        <v>103</v>
      </c>
      <c r="B1" s="158"/>
      <c r="C1" s="158"/>
      <c r="D1" s="158"/>
      <c r="E1" s="158"/>
      <c r="F1" s="158"/>
      <c r="G1" s="158"/>
      <c r="H1" s="158"/>
      <c r="I1" s="158"/>
    </row>
    <row r="2" spans="1:9" x14ac:dyDescent="0.3">
      <c r="G2" s="137" t="str">
        <f>"เลขที่ "&amp;Setting!B51&amp;""</f>
        <v>เลขที่ …......../2562</v>
      </c>
      <c r="H2" s="137"/>
      <c r="I2" s="137"/>
    </row>
    <row r="3" spans="1:9" x14ac:dyDescent="0.3">
      <c r="G3" s="137" t="str">
        <f>"วันที่ "&amp;Setting!B52&amp;" "&amp;Setting!C52&amp;" "&amp;Setting!D52&amp;""</f>
        <v>วันที่ 3 กันยายน 2562</v>
      </c>
      <c r="H3" s="137"/>
      <c r="I3" s="137"/>
    </row>
    <row r="4" spans="1:9" x14ac:dyDescent="0.3">
      <c r="A4" s="129" t="str">
        <f>"เรียน ผู้อำนวยการ"&amp;Setting!B4&amp;""</f>
        <v>เรียน ผู้อำนวยการโรงเรียนบ้านนอกคอกนา</v>
      </c>
      <c r="B4" s="129"/>
      <c r="C4" s="129"/>
      <c r="D4" s="129"/>
      <c r="E4" s="129"/>
      <c r="F4" s="129"/>
      <c r="G4" s="129"/>
      <c r="H4" s="129"/>
      <c r="I4" s="129"/>
    </row>
    <row r="5" spans="1:9" ht="19.149999999999999" customHeight="1" x14ac:dyDescent="0.3">
      <c r="A5" s="138" t="str">
        <f>"                 1. "&amp;Setting!B40&amp;" ตำแหน่ง ผู้รับจ้าง อยู่บ้านเลขที่ "&amp;Setting!B41&amp;" เลขที่บัตรประจำตัวประชาชน "&amp;Setting!B44&amp;" ข้าพเจ้าขอเสนอพัสดุ ราคารวมทั้งบริการและกำหนดเวลาส่งมอบดังนี้ "</f>
        <v xml:space="preserve">                 1. สิบตรีวีระวัฒน์ สุขทองหลาง ตำแหน่ง ผู้รับจ้าง อยู่บ้านเลขที่ 5/1 หมู่ 7 ตำบลรังกาใหญ่ อำเภอพิมาย จังหวัดนครราชสีมา 30110 เลขที่บัตรประจำตัวประชาชน 1309900966550 ข้าพเจ้าขอเสนอพัสดุ ราคารวมทั้งบริการและกำหนดเวลาส่งมอบดังนี้ </v>
      </c>
      <c r="B5" s="138"/>
      <c r="C5" s="138"/>
      <c r="D5" s="138"/>
      <c r="E5" s="138"/>
      <c r="F5" s="138"/>
      <c r="G5" s="138"/>
      <c r="H5" s="138"/>
      <c r="I5" s="138"/>
    </row>
    <row r="6" spans="1:9" x14ac:dyDescent="0.3">
      <c r="A6" s="138"/>
      <c r="B6" s="138"/>
      <c r="C6" s="138"/>
      <c r="D6" s="138"/>
      <c r="E6" s="138"/>
      <c r="F6" s="138"/>
      <c r="G6" s="138"/>
      <c r="H6" s="138"/>
      <c r="I6" s="138"/>
    </row>
    <row r="7" spans="1:9" x14ac:dyDescent="0.3">
      <c r="A7" s="138"/>
      <c r="B7" s="138"/>
      <c r="C7" s="138"/>
      <c r="D7" s="138"/>
      <c r="E7" s="138"/>
      <c r="F7" s="138"/>
      <c r="G7" s="138"/>
      <c r="H7" s="138"/>
      <c r="I7" s="138"/>
    </row>
    <row r="8" spans="1:9" ht="10.15" customHeight="1" x14ac:dyDescent="0.3"/>
    <row r="9" spans="1:9" x14ac:dyDescent="0.3">
      <c r="A9" s="40" t="s">
        <v>21</v>
      </c>
      <c r="B9" s="159" t="s">
        <v>104</v>
      </c>
      <c r="C9" s="160"/>
      <c r="D9" s="160"/>
      <c r="E9" s="161"/>
      <c r="F9" s="40" t="s">
        <v>105</v>
      </c>
      <c r="G9" s="40" t="s">
        <v>106</v>
      </c>
      <c r="H9" s="40" t="s">
        <v>107</v>
      </c>
      <c r="I9" s="40" t="s">
        <v>108</v>
      </c>
    </row>
    <row r="10" spans="1:9" x14ac:dyDescent="0.3">
      <c r="A10" s="155">
        <v>1</v>
      </c>
      <c r="B10" s="156" t="str">
        <f>"ค่า"&amp;Setting!B18&amp;" (รายละเอียดดังแนบ)"</f>
        <v>ค่าวัสดุสำนักงานจำนวน 18 รายการ (รายละเอียดดังแนบ)</v>
      </c>
      <c r="C10" s="156"/>
      <c r="D10" s="156"/>
      <c r="E10" s="156"/>
      <c r="F10" s="157">
        <f>Setting!B54</f>
        <v>1</v>
      </c>
      <c r="G10" s="155" t="str">
        <f>IF(Setting!B55="","-",Setting!B55)</f>
        <v>รายการ</v>
      </c>
      <c r="H10" s="154">
        <f>Setting!B53</f>
        <v>2345</v>
      </c>
      <c r="I10" s="154">
        <f>H10*Setting!B54</f>
        <v>2345</v>
      </c>
    </row>
    <row r="11" spans="1:9" x14ac:dyDescent="0.3">
      <c r="A11" s="155"/>
      <c r="B11" s="156"/>
      <c r="C11" s="156"/>
      <c r="D11" s="156"/>
      <c r="E11" s="156"/>
      <c r="F11" s="155"/>
      <c r="G11" s="155"/>
      <c r="H11" s="155"/>
      <c r="I11" s="155"/>
    </row>
    <row r="12" spans="1:9" x14ac:dyDescent="0.3">
      <c r="A12" s="155"/>
      <c r="B12" s="156"/>
      <c r="C12" s="156"/>
      <c r="D12" s="156"/>
      <c r="E12" s="156"/>
      <c r="F12" s="155"/>
      <c r="G12" s="155"/>
      <c r="H12" s="155"/>
      <c r="I12" s="155"/>
    </row>
    <row r="13" spans="1:9" x14ac:dyDescent="0.3">
      <c r="A13" s="155" t="str">
        <f>"รวมเป็นเงินทั้งสิ้น ("&amp;BAHTTEXT(H13)&amp;")"</f>
        <v>รวมเป็นเงินทั้งสิ้น (สองพันสามร้อยสี่สิบห้าบาทถ้วน)</v>
      </c>
      <c r="B13" s="155"/>
      <c r="C13" s="155"/>
      <c r="D13" s="155"/>
      <c r="E13" s="155"/>
      <c r="F13" s="155"/>
      <c r="G13" s="155"/>
      <c r="H13" s="154">
        <f>I10</f>
        <v>2345</v>
      </c>
      <c r="I13" s="155"/>
    </row>
    <row r="15" spans="1:9" x14ac:dyDescent="0.3">
      <c r="A15" s="134" t="s">
        <v>109</v>
      </c>
      <c r="B15" s="134"/>
      <c r="C15" s="134"/>
      <c r="D15" s="134"/>
      <c r="E15" s="134"/>
      <c r="F15" s="134"/>
      <c r="G15" s="134"/>
      <c r="H15" s="134"/>
      <c r="I15" s="134"/>
    </row>
    <row r="16" spans="1:9" x14ac:dyDescent="0.3">
      <c r="B16" s="18" t="s">
        <v>110</v>
      </c>
    </row>
    <row r="17" spans="2:9" x14ac:dyDescent="0.3">
      <c r="B17" s="18" t="str">
        <f>"3. กำหนดส่งมอบพัสดุตามรายการข้างต้นภายใน "&amp;Setting!B22&amp;" วัน นับถัดจากวันลงนามใบสั่งซื้อ"</f>
        <v>3. กำหนดส่งมอบพัสดุตามรายการข้างต้นภายใน 7 วัน นับถัดจากวันลงนามใบสั่งซื้อ</v>
      </c>
    </row>
    <row r="18" spans="2:9" ht="10.15" customHeight="1" x14ac:dyDescent="0.3"/>
    <row r="19" spans="2:9" x14ac:dyDescent="0.3">
      <c r="B19" s="18" t="str">
        <f>"เสนอมา ณ วันที่ "&amp;Setting!B52&amp;" "&amp;Setting!C52&amp;" "&amp;Setting!D52&amp;""</f>
        <v>เสนอมา ณ วันที่ 3 กันยายน 2562</v>
      </c>
    </row>
    <row r="21" spans="2:9" x14ac:dyDescent="0.3">
      <c r="B21" s="142" t="s">
        <v>111</v>
      </c>
      <c r="C21" s="142"/>
      <c r="D21" s="142"/>
      <c r="E21" s="142"/>
      <c r="F21" s="141" t="s">
        <v>112</v>
      </c>
      <c r="G21" s="141"/>
      <c r="H21" s="141"/>
      <c r="I21" s="141"/>
    </row>
    <row r="22" spans="2:9" x14ac:dyDescent="0.3">
      <c r="B22" s="142" t="str">
        <f>"("&amp;Setting!B8&amp;")"</f>
        <v>(นายฉัตรชัย สงทามะดัน)</v>
      </c>
      <c r="C22" s="142"/>
      <c r="D22" s="142"/>
      <c r="F22" s="142" t="str">
        <f>"("&amp;Setting!B40&amp;")"</f>
        <v>(สิบตรีวีระวัฒน์ สุขทองหลาง)</v>
      </c>
      <c r="G22" s="142"/>
      <c r="H22" s="142"/>
      <c r="I22" s="142"/>
    </row>
    <row r="23" spans="2:9" x14ac:dyDescent="0.3">
      <c r="B23" s="142" t="s">
        <v>32</v>
      </c>
      <c r="C23" s="142"/>
      <c r="D23" s="142"/>
      <c r="F23" s="142" t="s">
        <v>113</v>
      </c>
      <c r="G23" s="142"/>
      <c r="H23" s="142"/>
      <c r="I23" s="142"/>
    </row>
  </sheetData>
  <sheetProtection algorithmName="SHA-512" hashValue="t5oSy5cqcLioHBsvwPtOeQztRz1ZrB97L5mH69VD16U61AGcygyqh6jlHTmegUvl1+wz178IrI+R+m8GLX6Z5g==" saltValue="/m7xFqMeopA8Pm46iuiUsg==" spinCount="100000" sheet="1" objects="1" scenarios="1"/>
  <mergeCells count="21">
    <mergeCell ref="A1:I1"/>
    <mergeCell ref="G2:I2"/>
    <mergeCell ref="A4:I4"/>
    <mergeCell ref="A5:I7"/>
    <mergeCell ref="B9:E9"/>
    <mergeCell ref="B22:D22"/>
    <mergeCell ref="F22:I22"/>
    <mergeCell ref="B23:D23"/>
    <mergeCell ref="F23:I23"/>
    <mergeCell ref="G3:I3"/>
    <mergeCell ref="I10:I12"/>
    <mergeCell ref="A13:G13"/>
    <mergeCell ref="H13:I13"/>
    <mergeCell ref="A15:I15"/>
    <mergeCell ref="B21:E21"/>
    <mergeCell ref="F21:I21"/>
    <mergeCell ref="A10:A12"/>
    <mergeCell ref="B10:E12"/>
    <mergeCell ref="F10:F12"/>
    <mergeCell ref="G10:G12"/>
    <mergeCell ref="H10:H12"/>
  </mergeCells>
  <pageMargins left="0.7" right="0.7" top="0.75" bottom="0.75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5"/>
  </sheetPr>
  <dimension ref="B1:L32"/>
  <sheetViews>
    <sheetView zoomScaleNormal="100" workbookViewId="0">
      <selection activeCell="F31" sqref="F31"/>
    </sheetView>
  </sheetViews>
  <sheetFormatPr defaultColWidth="9" defaultRowHeight="19.5" x14ac:dyDescent="0.3"/>
  <cols>
    <col min="1" max="1" width="6.5" style="18" customWidth="1"/>
    <col min="2" max="2" width="5.375" style="18" customWidth="1"/>
    <col min="3" max="3" width="9" style="18"/>
    <col min="4" max="4" width="3.5" style="18" customWidth="1"/>
    <col min="5" max="10" width="9" style="18"/>
    <col min="11" max="11" width="8.5" style="18" customWidth="1"/>
    <col min="12" max="12" width="9" style="18" hidden="1" customWidth="1"/>
    <col min="13" max="16384" width="9" style="18"/>
  </cols>
  <sheetData>
    <row r="1" spans="2:12" x14ac:dyDescent="0.3">
      <c r="E1" s="130" t="s">
        <v>48</v>
      </c>
      <c r="F1" s="130"/>
      <c r="G1" s="130"/>
      <c r="H1" s="130"/>
      <c r="I1" s="130"/>
    </row>
    <row r="2" spans="2:12" x14ac:dyDescent="0.3">
      <c r="E2" s="130"/>
      <c r="F2" s="130"/>
      <c r="G2" s="130"/>
      <c r="H2" s="130"/>
      <c r="I2" s="130"/>
    </row>
    <row r="3" spans="2:12" ht="24.95" customHeight="1" x14ac:dyDescent="0.3">
      <c r="B3" s="19" t="s">
        <v>49</v>
      </c>
      <c r="D3" s="18" t="str">
        <f>Setting!B4</f>
        <v>โรงเรียนบ้านนอกคอกนา</v>
      </c>
      <c r="G3" s="19" t="s">
        <v>30</v>
      </c>
      <c r="H3" s="18" t="str">
        <f>Setting!B6</f>
        <v>สพป.นครราชสีมา เขต 2</v>
      </c>
    </row>
    <row r="4" spans="2:12" x14ac:dyDescent="0.3">
      <c r="B4" s="19" t="s">
        <v>21</v>
      </c>
      <c r="C4" s="131" t="str">
        <f>Setting!B35</f>
        <v>......../2562</v>
      </c>
      <c r="D4" s="132"/>
      <c r="E4" s="132"/>
      <c r="F4" s="20"/>
      <c r="G4" s="21" t="s">
        <v>0</v>
      </c>
      <c r="H4" s="133" t="str">
        <f>""&amp;Setting!B36&amp;" "&amp;Setting!C36&amp;" "&amp;Setting!D36&amp;""</f>
        <v>6 พฤศจิกายน 2562</v>
      </c>
      <c r="I4" s="133"/>
      <c r="J4" s="133"/>
    </row>
    <row r="5" spans="2:12" ht="20.100000000000001" customHeight="1" x14ac:dyDescent="0.3">
      <c r="B5" s="19" t="s">
        <v>50</v>
      </c>
      <c r="C5" s="134" t="s">
        <v>192</v>
      </c>
      <c r="D5" s="134"/>
      <c r="E5" s="134"/>
      <c r="F5" s="134"/>
      <c r="G5" s="134"/>
      <c r="H5" s="134"/>
      <c r="I5" s="134"/>
      <c r="J5" s="134"/>
    </row>
    <row r="6" spans="2:12" s="23" customFormat="1" ht="12.95" customHeight="1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</row>
    <row r="7" spans="2:12" x14ac:dyDescent="0.3">
      <c r="B7" s="19" t="s">
        <v>51</v>
      </c>
      <c r="C7" s="134" t="str">
        <f>"ผู้อำนวยการ"&amp;Setting!B4&amp;""</f>
        <v>ผู้อำนวยการโรงเรียนบ้านนอกคอกนา</v>
      </c>
      <c r="D7" s="134"/>
      <c r="E7" s="134"/>
      <c r="F7" s="134"/>
      <c r="G7" s="134"/>
      <c r="H7" s="134"/>
      <c r="I7" s="134"/>
      <c r="J7" s="134"/>
      <c r="K7" s="134"/>
    </row>
    <row r="8" spans="2:12" ht="18.399999999999999" customHeight="1" x14ac:dyDescent="0.3">
      <c r="B8" s="136" t="str">
        <f>"         ตามที่ผู้อำนวยการ"&amp;Setting!B4&amp;" เห็นชอบรายงานขอ"&amp;Setting!B18&amp;" ซึ่งเป็นจำนวนเงิน "&amp;TEXT(Setting!B21,"#,##0")&amp;" บาท "&amp;BAHTTEXT(Setting!B21)&amp;" รายละเอียดดังแนบ"</f>
        <v xml:space="preserve">         ตามที่ผู้อำนวยการโรงเรียนบ้านนอกคอกนา เห็นชอบรายงานขอวัสดุสำนักงานจำนวน 18 รายการ ซึ่งเป็นจำนวนเงิน 9,153 บาท เก้าพันหนึ่งร้อยห้าสิบสามบาทถ้วน รายละเอียดดังแนบ</v>
      </c>
      <c r="C8" s="136"/>
      <c r="D8" s="136"/>
      <c r="E8" s="136"/>
      <c r="F8" s="136"/>
      <c r="G8" s="136"/>
      <c r="H8" s="136"/>
      <c r="I8" s="136"/>
      <c r="J8" s="136"/>
      <c r="K8" s="136"/>
      <c r="L8" s="136"/>
    </row>
    <row r="9" spans="2:12" ht="18.399999999999999" customHeight="1" x14ac:dyDescent="0.3"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</row>
    <row r="10" spans="2:12" ht="24" customHeight="1" x14ac:dyDescent="0.3">
      <c r="B10" s="136" t="str">
        <f>"         ในการนี้เจ้าหน้าที่ได้เจรจาตกลงราคากับ "&amp;Setting!B40&amp;" ซึ่งมีอาชีพค้าขายแล้ว ปรากฏว่าเสนอราคาเป็นเงิน "&amp;TEXT(Setting!B53,"#,##0")&amp;" บาท ("&amp;BAHTTEXT(Setting!B53)&amp;") ดังนั้นเพื่อให้เป็นไปตามระเบียบกระทรวงการคลังว่าด้วยการจัดซื้อจัดจ้างและการบริหารภาครัฐ พ.ศ. ๒๕๖๐ ข้อ ๗๙ จึงเห็นควรจัดซื้อจากผู้เสนอราคารายดังกล่าว"</f>
        <v xml:space="preserve">         ในการนี้เจ้าหน้าที่ได้เจรจาตกลงราคากับ สิบตรีวีระวัฒน์ สุขทองหลาง ซึ่งมีอาชีพค้าขายแล้ว ปรากฏว่าเสนอราคาเป็นเงิน 2,345 บาท (สองพันสามร้อยสี่สิบห้าบาทถ้วน) ดังนั้นเพื่อให้เป็นไปตามระเบียบกระทรวงการคลังว่าด้วยการจัดซื้อจัดจ้างและการบริหารภาครัฐ พ.ศ. ๒๕๖๐ ข้อ ๗๙ จึงเห็นควรจัดซื้อจากผู้เสนอราคารายดังกล่าว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2:12" ht="24" customHeight="1" x14ac:dyDescent="0.3"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</row>
    <row r="12" spans="2:12" ht="18.600000000000001" customHeight="1" x14ac:dyDescent="0.3"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</row>
    <row r="13" spans="2:12" ht="25.15" hidden="1" customHeight="1" x14ac:dyDescent="0.3"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</row>
    <row r="14" spans="2:12" ht="19.149999999999999" customHeight="1" x14ac:dyDescent="0.3">
      <c r="C14" s="24" t="s">
        <v>55</v>
      </c>
      <c r="D14" s="24"/>
      <c r="E14" s="24"/>
      <c r="F14" s="24"/>
      <c r="G14" s="24"/>
      <c r="H14" s="24"/>
      <c r="I14" s="24"/>
      <c r="J14" s="24"/>
      <c r="K14" s="24"/>
      <c r="L14" s="24"/>
    </row>
    <row r="15" spans="2:12" ht="19.149999999999999" customHeight="1" x14ac:dyDescent="0.3">
      <c r="C15" s="138" t="str">
        <f>"        1. อนุมัติให้สั่งซื้อจาก "&amp;Setting!B40&amp;" เป็นผู้ขาย  ในวงเงิน  "&amp;TEXT(Setting!B53,"#,##0")&amp;" บาท ("&amp;BAHTTEXT(Setting!B53)&amp;")
กำหนดเวลาการส่งมอบภายใน "&amp;Setting!B22&amp;" วัน"</f>
        <v xml:space="preserve">        1. อนุมัติให้สั่งซื้อจาก สิบตรีวีระวัฒน์ สุขทองหลาง เป็นผู้ขาย  ในวงเงิน  2,345 บาท (สองพันสามร้อยสี่สิบห้าบาทถ้วน)
กำหนดเวลาการส่งมอบภายใน 7 วัน</v>
      </c>
      <c r="D15" s="138"/>
      <c r="E15" s="138"/>
      <c r="F15" s="138"/>
      <c r="G15" s="138"/>
      <c r="H15" s="138"/>
      <c r="I15" s="138"/>
      <c r="J15" s="138"/>
      <c r="K15" s="138"/>
      <c r="L15" s="24"/>
    </row>
    <row r="16" spans="2:12" ht="19.149999999999999" customHeight="1" x14ac:dyDescent="0.3">
      <c r="C16" s="138"/>
      <c r="D16" s="138"/>
      <c r="E16" s="138"/>
      <c r="F16" s="138"/>
      <c r="G16" s="138"/>
      <c r="H16" s="138"/>
      <c r="I16" s="138"/>
      <c r="J16" s="138"/>
      <c r="K16" s="138"/>
      <c r="L16" s="24"/>
    </row>
    <row r="17" spans="2:12" ht="19.149999999999999" customHeight="1" x14ac:dyDescent="0.3">
      <c r="C17" s="129" t="s">
        <v>188</v>
      </c>
      <c r="D17" s="129"/>
      <c r="E17" s="129"/>
      <c r="F17" s="129"/>
      <c r="G17" s="129"/>
      <c r="H17" s="24"/>
      <c r="I17" s="24"/>
      <c r="J17" s="24"/>
      <c r="K17" s="24"/>
      <c r="L17" s="24"/>
    </row>
    <row r="18" spans="2:12" ht="19.149999999999999" customHeight="1" x14ac:dyDescent="0.3">
      <c r="C18" s="24"/>
      <c r="D18" s="24"/>
      <c r="E18" s="24"/>
      <c r="F18" s="24"/>
      <c r="G18" s="24"/>
      <c r="H18" s="24"/>
      <c r="I18" s="24"/>
      <c r="J18" s="24"/>
      <c r="K18" s="24"/>
      <c r="L18" s="24"/>
    </row>
    <row r="20" spans="2:12" x14ac:dyDescent="0.3">
      <c r="B20" s="141" t="s">
        <v>84</v>
      </c>
      <c r="C20" s="141"/>
      <c r="D20" s="141"/>
      <c r="E20" s="141"/>
      <c r="F20" s="141"/>
      <c r="G20" s="141"/>
      <c r="H20" s="141"/>
      <c r="I20" s="141"/>
      <c r="J20" s="141"/>
    </row>
    <row r="21" spans="2:12" x14ac:dyDescent="0.3">
      <c r="B21" s="141" t="str">
        <f>" ( "&amp;Setting!B8&amp;" )"</f>
        <v xml:space="preserve"> ( นายฉัตรชัย สงทามะดัน )</v>
      </c>
      <c r="C21" s="141"/>
      <c r="D21" s="141"/>
      <c r="E21" s="141"/>
      <c r="F21" s="141"/>
      <c r="G21" s="141"/>
      <c r="H21" s="141"/>
      <c r="I21" s="141"/>
      <c r="J21" s="141"/>
      <c r="K21" s="23"/>
    </row>
    <row r="22" spans="2:12" x14ac:dyDescent="0.3">
      <c r="B22" s="55"/>
      <c r="C22" s="55"/>
      <c r="D22" s="55"/>
      <c r="E22" s="55"/>
      <c r="F22" s="55"/>
      <c r="G22" s="55"/>
      <c r="H22" s="55"/>
      <c r="I22" s="55"/>
      <c r="J22" s="55"/>
      <c r="K22" s="23"/>
    </row>
    <row r="23" spans="2:12" x14ac:dyDescent="0.3">
      <c r="B23" s="141" t="s">
        <v>189</v>
      </c>
      <c r="C23" s="141"/>
      <c r="D23" s="141"/>
      <c r="E23" s="141"/>
      <c r="F23" s="141"/>
      <c r="G23" s="141"/>
      <c r="H23" s="141"/>
      <c r="I23" s="141"/>
      <c r="J23" s="141"/>
      <c r="K23" s="23"/>
    </row>
    <row r="24" spans="2:12" x14ac:dyDescent="0.3">
      <c r="B24" s="141" t="str">
        <f>" ( "&amp;Setting!B9&amp;" )"</f>
        <v xml:space="preserve"> ( นายสมเด็จ ภิญโญยาง )</v>
      </c>
      <c r="C24" s="141"/>
      <c r="D24" s="141"/>
      <c r="E24" s="141"/>
      <c r="F24" s="141"/>
      <c r="G24" s="141"/>
      <c r="H24" s="141"/>
      <c r="I24" s="141"/>
      <c r="J24" s="141"/>
      <c r="K24" s="23"/>
    </row>
    <row r="25" spans="2:12" x14ac:dyDescent="0.3">
      <c r="B25" s="141"/>
      <c r="C25" s="141"/>
      <c r="D25" s="141"/>
      <c r="E25" s="141"/>
      <c r="F25" s="141"/>
      <c r="G25" s="141"/>
      <c r="H25" s="141"/>
      <c r="I25" s="141"/>
      <c r="J25" s="141"/>
      <c r="K25" s="23"/>
    </row>
    <row r="26" spans="2:12" x14ac:dyDescent="0.3">
      <c r="F26" s="32" t="s">
        <v>60</v>
      </c>
    </row>
    <row r="27" spans="2:12" x14ac:dyDescent="0.3">
      <c r="F27" s="32" t="s">
        <v>190</v>
      </c>
    </row>
    <row r="29" spans="2:12" x14ac:dyDescent="0.3">
      <c r="G29" s="18" t="s">
        <v>191</v>
      </c>
    </row>
    <row r="30" spans="2:12" x14ac:dyDescent="0.3">
      <c r="F30" s="142" t="str">
        <f>" ( "&amp;Setting!B11&amp;" )"</f>
        <v xml:space="preserve"> ( นายสมเด็จ ภิญโญยาง )</v>
      </c>
      <c r="G30" s="142"/>
      <c r="H30" s="142"/>
      <c r="I30" s="142"/>
      <c r="J30" s="142"/>
    </row>
    <row r="31" spans="2:12" x14ac:dyDescent="0.3">
      <c r="F31" s="56"/>
      <c r="G31" s="142" t="str">
        <f>"ผู้อำนวยการ"&amp;Setting!B4&amp;""</f>
        <v>ผู้อำนวยการโรงเรียนบ้านนอกคอกนา</v>
      </c>
      <c r="H31" s="142"/>
      <c r="I31" s="142"/>
      <c r="J31" s="56"/>
    </row>
    <row r="32" spans="2:12" x14ac:dyDescent="0.3">
      <c r="F32" s="140" t="str">
        <f>""&amp;Setting!B36&amp;" "&amp;Setting!C36&amp;" "&amp;Setting!D36&amp;""</f>
        <v>6 พฤศจิกายน 2562</v>
      </c>
      <c r="G32" s="140"/>
      <c r="H32" s="140"/>
      <c r="I32" s="140"/>
      <c r="J32" s="140"/>
    </row>
  </sheetData>
  <sheetProtection algorithmName="SHA-512" hashValue="iSbThX5RxFOsycIvFbz4VO/aUyknk6tSjLhvl3JB8M4N09QbrkPg0IL53sVx8DhhkUk3CFAB8gFqigtAtuqXFQ==" saltValue="jA3edNMvl5/kF7GEOBoNyQ==" spinCount="100000" sheet="1" objects="1" scenarios="1"/>
  <mergeCells count="18">
    <mergeCell ref="F30:J30"/>
    <mergeCell ref="F32:J32"/>
    <mergeCell ref="B8:L9"/>
    <mergeCell ref="B10:L13"/>
    <mergeCell ref="C15:K16"/>
    <mergeCell ref="C17:G17"/>
    <mergeCell ref="B20:J20"/>
    <mergeCell ref="B21:J21"/>
    <mergeCell ref="B25:J25"/>
    <mergeCell ref="B23:J23"/>
    <mergeCell ref="B24:J24"/>
    <mergeCell ref="G31:I31"/>
    <mergeCell ref="C7:K7"/>
    <mergeCell ref="E1:I2"/>
    <mergeCell ref="C4:E4"/>
    <mergeCell ref="H4:J4"/>
    <mergeCell ref="C5:J5"/>
    <mergeCell ref="B6:L6"/>
  </mergeCells>
  <pageMargins left="0.23622047244094491" right="0.23622047244094491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4" tint="-0.249977111117893"/>
  </sheetPr>
  <dimension ref="A5:J48"/>
  <sheetViews>
    <sheetView topLeftCell="A7" zoomScaleNormal="100" workbookViewId="0">
      <selection activeCell="A38" sqref="A38:D38"/>
    </sheetView>
  </sheetViews>
  <sheetFormatPr defaultColWidth="9" defaultRowHeight="19.5" x14ac:dyDescent="0.3"/>
  <cols>
    <col min="1" max="1" width="7.875" style="18" customWidth="1"/>
    <col min="2" max="4" width="9" style="18"/>
    <col min="5" max="5" width="9" style="18" customWidth="1"/>
    <col min="6" max="6" width="7.25" style="18" customWidth="1"/>
    <col min="7" max="7" width="9" style="18"/>
    <col min="8" max="8" width="10.625" style="18" customWidth="1"/>
    <col min="9" max="9" width="10.25" style="18" customWidth="1"/>
    <col min="10" max="16384" width="9" style="18"/>
  </cols>
  <sheetData>
    <row r="5" spans="1:9" ht="8.25" customHeight="1" x14ac:dyDescent="0.3"/>
    <row r="6" spans="1:9" ht="26.25" x14ac:dyDescent="0.4">
      <c r="A6" s="194" t="s">
        <v>193</v>
      </c>
      <c r="B6" s="194"/>
      <c r="C6" s="194"/>
      <c r="D6" s="194"/>
      <c r="E6" s="194"/>
      <c r="F6" s="194"/>
      <c r="G6" s="194"/>
      <c r="H6" s="194"/>
      <c r="I6" s="194"/>
    </row>
    <row r="7" spans="1:9" x14ac:dyDescent="0.3">
      <c r="A7" s="19" t="s">
        <v>194</v>
      </c>
      <c r="B7" s="134" t="str">
        <f>Setting!B40</f>
        <v>สิบตรีวีระวัฒน์ สุขทองหลาง</v>
      </c>
      <c r="C7" s="134"/>
      <c r="D7" s="134"/>
      <c r="F7" s="195" t="s">
        <v>195</v>
      </c>
      <c r="G7" s="195"/>
      <c r="H7" s="196" t="str">
        <f>Setting!B58</f>
        <v>......./2562</v>
      </c>
      <c r="I7" s="196"/>
    </row>
    <row r="8" spans="1:9" x14ac:dyDescent="0.3">
      <c r="A8" s="19" t="s">
        <v>115</v>
      </c>
      <c r="B8" s="197" t="str">
        <f>Setting!B41</f>
        <v>5/1 หมู่ 7 ตำบลรังกาใหญ่ อำเภอพิมาย จังหวัดนครราชสีมา 30110</v>
      </c>
      <c r="C8" s="198"/>
      <c r="D8" s="198"/>
      <c r="E8" s="198"/>
      <c r="F8" s="42" t="s">
        <v>0</v>
      </c>
      <c r="G8" s="199" t="str">
        <f>""&amp;Setting!B59&amp;" "&amp;Setting!C59&amp;" "&amp;Setting!D59&amp;""</f>
        <v>3 กันยายน 2562</v>
      </c>
      <c r="H8" s="137"/>
      <c r="I8" s="137"/>
    </row>
    <row r="9" spans="1:9" x14ac:dyDescent="0.3">
      <c r="A9" s="19"/>
      <c r="B9" s="198"/>
      <c r="C9" s="198"/>
      <c r="D9" s="198"/>
      <c r="E9" s="198"/>
      <c r="G9" s="43"/>
      <c r="H9" s="31"/>
      <c r="I9" s="31"/>
    </row>
    <row r="10" spans="1:9" ht="20.25" customHeight="1" x14ac:dyDescent="0.3">
      <c r="A10" s="19" t="s">
        <v>116</v>
      </c>
      <c r="B10" s="191" t="str">
        <f>Setting!B42</f>
        <v>063-8263603</v>
      </c>
      <c r="C10" s="137"/>
      <c r="D10" s="137"/>
      <c r="E10" s="137"/>
      <c r="F10" s="138" t="str">
        <f>Setting!B4</f>
        <v>โรงเรียนบ้านนอกคอกนา</v>
      </c>
      <c r="G10" s="138"/>
      <c r="H10" s="138"/>
      <c r="I10" s="138"/>
    </row>
    <row r="11" spans="1:9" x14ac:dyDescent="0.3">
      <c r="A11" s="139" t="s">
        <v>95</v>
      </c>
      <c r="B11" s="139"/>
      <c r="C11" s="181" t="str">
        <f>Setting!B43</f>
        <v>-</v>
      </c>
      <c r="D11" s="137"/>
      <c r="E11" s="137"/>
      <c r="F11" s="138" t="str">
        <f>Setting!B5</f>
        <v>172 หมู่ 5 ตำบลหนองตะไก้ อำเภอหนองบุญมาก จังหวัดนครราชสีมา 30410</v>
      </c>
      <c r="G11" s="138"/>
      <c r="H11" s="138"/>
      <c r="I11" s="138"/>
    </row>
    <row r="12" spans="1:9" ht="21.75" customHeight="1" x14ac:dyDescent="0.3">
      <c r="A12" s="139" t="s">
        <v>117</v>
      </c>
      <c r="B12" s="139"/>
      <c r="C12" s="192" t="str">
        <f>Setting!B45</f>
        <v>-</v>
      </c>
      <c r="D12" s="193"/>
      <c r="E12" s="193"/>
      <c r="F12" s="138"/>
      <c r="G12" s="138"/>
      <c r="H12" s="138"/>
      <c r="I12" s="138"/>
    </row>
    <row r="13" spans="1:9" ht="20.25" customHeight="1" x14ac:dyDescent="0.3">
      <c r="A13" s="19" t="s">
        <v>118</v>
      </c>
      <c r="B13" s="180" t="str">
        <f>Setting!B46</f>
        <v>-</v>
      </c>
      <c r="C13" s="134"/>
      <c r="D13" s="134"/>
      <c r="E13" s="134"/>
      <c r="F13" s="138"/>
      <c r="G13" s="138"/>
      <c r="H13" s="138"/>
      <c r="I13" s="138"/>
    </row>
    <row r="14" spans="1:9" ht="19.5" customHeight="1" x14ac:dyDescent="0.3">
      <c r="A14" s="19" t="s">
        <v>98</v>
      </c>
      <c r="B14" s="180" t="str">
        <f>Setting!B47</f>
        <v>-</v>
      </c>
      <c r="C14" s="134"/>
      <c r="D14" s="19" t="s">
        <v>99</v>
      </c>
      <c r="E14" s="181" t="str">
        <f>Setting!B48</f>
        <v>-</v>
      </c>
      <c r="F14" s="137"/>
      <c r="G14" s="137"/>
      <c r="H14" s="137"/>
      <c r="I14" s="137"/>
    </row>
    <row r="15" spans="1:9" ht="4.5" customHeight="1" x14ac:dyDescent="0.3"/>
    <row r="16" spans="1:9" ht="21" customHeight="1" x14ac:dyDescent="0.3">
      <c r="A16" s="138" t="str">
        <f>"           ตามที่ "&amp;Setting!B40&amp;" ได้เสนอราคาไว้ต่อ "&amp;Setting!B4&amp;" ตามใบเสนอราคาเลขที่ "&amp;Setting!B51&amp;" ลงวันที่ "&amp;Setting!B52&amp;" "&amp;Setting!C52&amp;" "&amp;Setting!D52&amp;" ซึ่งได้รับราคาและตกลงซื้อตามรายการดังต่อไปนี้  การสั่งซื้ออยู่ภายใต้เงื่อนไขต่อไปนี้"</f>
        <v xml:space="preserve">           ตามที่ สิบตรีวีระวัฒน์ สุขทองหลาง ได้เสนอราคาไว้ต่อ โรงเรียนบ้านนอกคอกนา ตามใบเสนอราคาเลขที่ …......../2562 ลงวันที่ 3 กันยายน 2562 ซึ่งได้รับราคาและตกลงซื้อตามรายการดังต่อไปนี้  การสั่งซื้ออยู่ภายใต้เงื่อนไขต่อไปนี้</v>
      </c>
      <c r="B16" s="138"/>
      <c r="C16" s="138"/>
      <c r="D16" s="138"/>
      <c r="E16" s="138"/>
      <c r="F16" s="138"/>
      <c r="G16" s="138"/>
      <c r="H16" s="138"/>
      <c r="I16" s="138"/>
    </row>
    <row r="17" spans="1:10" ht="34.5" customHeight="1" x14ac:dyDescent="0.3">
      <c r="A17" s="138"/>
      <c r="B17" s="138"/>
      <c r="C17" s="138"/>
      <c r="D17" s="138"/>
      <c r="E17" s="138"/>
      <c r="F17" s="138"/>
      <c r="G17" s="138"/>
      <c r="H17" s="138"/>
      <c r="I17" s="138"/>
    </row>
    <row r="18" spans="1:10" ht="2.4500000000000002" customHeight="1" x14ac:dyDescent="0.3">
      <c r="A18" s="182"/>
      <c r="B18" s="182"/>
      <c r="C18" s="182"/>
      <c r="D18" s="182"/>
      <c r="E18" s="182"/>
      <c r="F18" s="182"/>
      <c r="G18" s="182"/>
      <c r="H18" s="182"/>
      <c r="I18" s="182"/>
    </row>
    <row r="19" spans="1:10" x14ac:dyDescent="0.3">
      <c r="A19" s="183" t="s">
        <v>119</v>
      </c>
      <c r="B19" s="185" t="s">
        <v>104</v>
      </c>
      <c r="C19" s="186"/>
      <c r="D19" s="186"/>
      <c r="E19" s="187"/>
      <c r="F19" s="183" t="s">
        <v>105</v>
      </c>
      <c r="G19" s="183" t="s">
        <v>106</v>
      </c>
      <c r="H19" s="183" t="s">
        <v>120</v>
      </c>
      <c r="I19" s="183" t="s">
        <v>121</v>
      </c>
    </row>
    <row r="20" spans="1:10" ht="7.5" customHeight="1" x14ac:dyDescent="0.3">
      <c r="A20" s="184"/>
      <c r="B20" s="188"/>
      <c r="C20" s="189"/>
      <c r="D20" s="189"/>
      <c r="E20" s="190"/>
      <c r="F20" s="184"/>
      <c r="G20" s="184"/>
      <c r="H20" s="184"/>
      <c r="I20" s="184"/>
    </row>
    <row r="21" spans="1:10" ht="60" customHeight="1" x14ac:dyDescent="0.3">
      <c r="A21" s="40">
        <f>[1]ตั้งค่า!J8</f>
        <v>1</v>
      </c>
      <c r="B21" s="163" t="str">
        <f>"ค่า"&amp;Setting!B18&amp;""</f>
        <v>ค่าวัสดุสำนักงานจำนวน 18 รายการ</v>
      </c>
      <c r="C21" s="164"/>
      <c r="D21" s="164"/>
      <c r="E21" s="165"/>
      <c r="F21" s="49">
        <f>Setting!B54</f>
        <v>1</v>
      </c>
      <c r="G21" s="44" t="str">
        <f>IF(Setting!B55="","-",Setting!B55)</f>
        <v>รายการ</v>
      </c>
      <c r="H21" s="45" t="str">
        <f>TEXT(Setting!B53,"#,##0")</f>
        <v>2,345</v>
      </c>
      <c r="I21" s="45" t="str">
        <f>TEXT(Setting!B53*F21,"#,##0")</f>
        <v>2,345</v>
      </c>
    </row>
    <row r="22" spans="1:10" x14ac:dyDescent="0.3">
      <c r="A22" s="166" t="str">
        <f>"("&amp;BAHTTEXT(I21)&amp;")"</f>
        <v>(สองพันสามร้อยสี่สิบห้าบาทถ้วน)</v>
      </c>
      <c r="B22" s="167"/>
      <c r="C22" s="167"/>
      <c r="D22" s="167"/>
      <c r="E22" s="168"/>
      <c r="F22" s="159" t="s">
        <v>122</v>
      </c>
      <c r="G22" s="161"/>
      <c r="H22" s="174" t="str">
        <f>I21</f>
        <v>2,345</v>
      </c>
      <c r="I22" s="175"/>
    </row>
    <row r="23" spans="1:10" x14ac:dyDescent="0.3">
      <c r="A23" s="169"/>
      <c r="B23" s="142"/>
      <c r="C23" s="142"/>
      <c r="D23" s="142"/>
      <c r="E23" s="170"/>
      <c r="F23" s="176" t="s">
        <v>123</v>
      </c>
      <c r="G23" s="176"/>
      <c r="H23" s="177"/>
      <c r="I23" s="177"/>
    </row>
    <row r="24" spans="1:10" x14ac:dyDescent="0.3">
      <c r="A24" s="171"/>
      <c r="B24" s="172"/>
      <c r="C24" s="172"/>
      <c r="D24" s="172"/>
      <c r="E24" s="173"/>
      <c r="F24" s="176" t="s">
        <v>124</v>
      </c>
      <c r="G24" s="176"/>
      <c r="H24" s="178" t="str">
        <f>I21</f>
        <v>2,345</v>
      </c>
      <c r="I24" s="178"/>
      <c r="J24" s="31"/>
    </row>
    <row r="25" spans="1:10" x14ac:dyDescent="0.3">
      <c r="B25" s="139" t="s">
        <v>196</v>
      </c>
      <c r="C25" s="139"/>
      <c r="D25" s="139"/>
      <c r="E25" s="139"/>
      <c r="F25" s="139"/>
    </row>
    <row r="26" spans="1:10" x14ac:dyDescent="0.3">
      <c r="B26" s="134" t="s">
        <v>125</v>
      </c>
      <c r="C26" s="134"/>
      <c r="D26" s="46">
        <f>Setting!B22</f>
        <v>7</v>
      </c>
      <c r="E26" s="31" t="s">
        <v>126</v>
      </c>
      <c r="F26" s="134" t="s">
        <v>197</v>
      </c>
      <c r="G26" s="134"/>
      <c r="H26" s="134"/>
      <c r="I26" s="134"/>
    </row>
    <row r="27" spans="1:10" x14ac:dyDescent="0.3">
      <c r="B27" s="18" t="s">
        <v>127</v>
      </c>
      <c r="E27" s="179" t="str">
        <f>""&amp;Setting!B23&amp;" "&amp;Setting!C23&amp;" "&amp;Setting!D23&amp;""</f>
        <v>14 พฤศจิกายน 2562</v>
      </c>
      <c r="F27" s="179"/>
      <c r="G27" s="179"/>
      <c r="H27" s="179"/>
    </row>
    <row r="28" spans="1:10" ht="16.149999999999999" customHeight="1" x14ac:dyDescent="0.3">
      <c r="B28" s="138" t="str">
        <f>"3. สถานที่ส่งมอบ "&amp;Setting!B4&amp;" "&amp;Setting!B5&amp;""</f>
        <v>3. สถานที่ส่งมอบ โรงเรียนบ้านนอกคอกนา 172 หมู่ 5 ตำบลหนองตะไก้ อำเภอหนองบุญมาก จังหวัดนครราชสีมา 30410</v>
      </c>
      <c r="C28" s="138"/>
      <c r="D28" s="138"/>
      <c r="E28" s="138"/>
      <c r="F28" s="138"/>
      <c r="G28" s="138"/>
      <c r="H28" s="138"/>
      <c r="I28" s="138"/>
    </row>
    <row r="29" spans="1:10" ht="16.149999999999999" customHeight="1" x14ac:dyDescent="0.3">
      <c r="B29" s="138"/>
      <c r="C29" s="138"/>
      <c r="D29" s="138"/>
      <c r="E29" s="138"/>
      <c r="F29" s="138"/>
      <c r="G29" s="138"/>
      <c r="H29" s="138"/>
      <c r="I29" s="138"/>
    </row>
    <row r="30" spans="1:10" x14ac:dyDescent="0.3">
      <c r="B30" s="18" t="s">
        <v>128</v>
      </c>
      <c r="D30" s="141" t="s">
        <v>129</v>
      </c>
      <c r="E30" s="141"/>
      <c r="F30" s="33" t="s">
        <v>126</v>
      </c>
    </row>
    <row r="31" spans="1:10" ht="18" customHeight="1" x14ac:dyDescent="0.3">
      <c r="B31" s="162" t="s">
        <v>130</v>
      </c>
      <c r="C31" s="162"/>
      <c r="D31" s="162"/>
      <c r="E31" s="162"/>
      <c r="F31" s="162"/>
      <c r="G31" s="162"/>
      <c r="H31" s="162"/>
      <c r="I31" s="162"/>
    </row>
    <row r="32" spans="1:10" ht="18" customHeight="1" x14ac:dyDescent="0.3">
      <c r="B32" s="162"/>
      <c r="C32" s="162"/>
      <c r="D32" s="162"/>
      <c r="E32" s="162"/>
      <c r="F32" s="162"/>
      <c r="G32" s="162"/>
      <c r="H32" s="162"/>
      <c r="I32" s="162"/>
    </row>
    <row r="33" spans="1:10" ht="18" customHeight="1" x14ac:dyDescent="0.3">
      <c r="B33" s="138" t="s">
        <v>198</v>
      </c>
      <c r="C33" s="138"/>
      <c r="D33" s="138"/>
      <c r="E33" s="138"/>
      <c r="F33" s="138"/>
      <c r="G33" s="138"/>
      <c r="H33" s="138"/>
      <c r="I33" s="138"/>
    </row>
    <row r="34" spans="1:10" ht="18" customHeight="1" x14ac:dyDescent="0.3">
      <c r="B34" s="138"/>
      <c r="C34" s="138"/>
      <c r="D34" s="138"/>
      <c r="E34" s="138"/>
      <c r="F34" s="138"/>
      <c r="G34" s="138"/>
      <c r="H34" s="138"/>
      <c r="I34" s="138"/>
    </row>
    <row r="35" spans="1:10" ht="24" customHeight="1" x14ac:dyDescent="0.3">
      <c r="B35" s="26"/>
      <c r="C35" s="26"/>
      <c r="D35" s="26"/>
      <c r="E35" s="26"/>
      <c r="F35" s="26"/>
      <c r="G35" s="26"/>
      <c r="H35" s="26"/>
      <c r="I35" s="26"/>
    </row>
    <row r="36" spans="1:10" x14ac:dyDescent="0.3">
      <c r="A36" s="142" t="s">
        <v>199</v>
      </c>
      <c r="B36" s="142"/>
      <c r="C36" s="142"/>
      <c r="D36" s="142"/>
      <c r="E36" s="23"/>
      <c r="F36" s="142" t="s">
        <v>200</v>
      </c>
      <c r="G36" s="142"/>
      <c r="H36" s="142"/>
      <c r="I36" s="142"/>
      <c r="J36" s="23"/>
    </row>
    <row r="37" spans="1:10" x14ac:dyDescent="0.3">
      <c r="A37" s="142" t="str">
        <f>"( "&amp;Setting!B11&amp;" )"</f>
        <v>( นายสมเด็จ ภิญโญยาง )</v>
      </c>
      <c r="B37" s="142"/>
      <c r="C37" s="142"/>
      <c r="D37" s="142"/>
      <c r="F37" s="141" t="str">
        <f>"( "&amp;Setting!B40&amp;" )"</f>
        <v>( สิบตรีวีระวัฒน์ สุขทองหลาง )</v>
      </c>
      <c r="G37" s="141"/>
      <c r="H37" s="141"/>
      <c r="I37" s="141"/>
    </row>
    <row r="38" spans="1:10" x14ac:dyDescent="0.3">
      <c r="A38" s="141" t="str">
        <f>"ตำแหน่ง ผู้อำนวยการ"&amp;Setting!B4&amp;""</f>
        <v>ตำแหน่ง ผู้อำนวยการโรงเรียนบ้านนอกคอกนา</v>
      </c>
      <c r="B38" s="141"/>
      <c r="C38" s="141"/>
      <c r="D38" s="141"/>
      <c r="E38" s="47"/>
      <c r="F38" s="141" t="s">
        <v>201</v>
      </c>
      <c r="G38" s="141"/>
      <c r="H38" s="141"/>
      <c r="I38" s="141"/>
      <c r="J38" s="47"/>
    </row>
    <row r="40" spans="1:10" x14ac:dyDescent="0.3">
      <c r="H40" s="23"/>
    </row>
    <row r="42" spans="1:10" x14ac:dyDescent="0.3">
      <c r="A42" s="48"/>
      <c r="B42" s="48"/>
    </row>
    <row r="46" spans="1:10" x14ac:dyDescent="0.3">
      <c r="H46" s="23"/>
    </row>
    <row r="47" spans="1:10" x14ac:dyDescent="0.3">
      <c r="E47" s="142"/>
      <c r="F47" s="142"/>
      <c r="G47" s="142"/>
      <c r="H47" s="23"/>
    </row>
    <row r="48" spans="1:10" x14ac:dyDescent="0.3">
      <c r="C48" s="152"/>
      <c r="D48" s="152"/>
      <c r="E48" s="141"/>
      <c r="F48" s="141"/>
      <c r="G48" s="141"/>
    </row>
  </sheetData>
  <sheetProtection algorithmName="SHA-512" hashValue="k2PZ8Ml653KLiVkvRjdMSo1tgphgbP0v+H+N92RJighH3PZRULdP+wQw3V9gz5dwWMnV06jx6qC1wUqBBIhr4Q==" saltValue="smAzslYbp9Jrh9rT/A4Ccw==" spinCount="100000" sheet="1" objects="1" scenarios="1"/>
  <mergeCells count="48">
    <mergeCell ref="A6:I6"/>
    <mergeCell ref="B7:D7"/>
    <mergeCell ref="F7:G7"/>
    <mergeCell ref="H7:I7"/>
    <mergeCell ref="B8:E9"/>
    <mergeCell ref="G8:I8"/>
    <mergeCell ref="B10:E10"/>
    <mergeCell ref="F10:I10"/>
    <mergeCell ref="A11:B11"/>
    <mergeCell ref="C11:E11"/>
    <mergeCell ref="F11:I13"/>
    <mergeCell ref="A12:B12"/>
    <mergeCell ref="C12:E12"/>
    <mergeCell ref="B13:E13"/>
    <mergeCell ref="B14:C14"/>
    <mergeCell ref="E14:I14"/>
    <mergeCell ref="A16:I18"/>
    <mergeCell ref="A19:A20"/>
    <mergeCell ref="B19:E20"/>
    <mergeCell ref="F19:F20"/>
    <mergeCell ref="G19:G20"/>
    <mergeCell ref="H19:H20"/>
    <mergeCell ref="I19:I20"/>
    <mergeCell ref="D30:E30"/>
    <mergeCell ref="B21:E21"/>
    <mergeCell ref="A22:E24"/>
    <mergeCell ref="F22:G22"/>
    <mergeCell ref="H22:I22"/>
    <mergeCell ref="F23:G23"/>
    <mergeCell ref="H23:I23"/>
    <mergeCell ref="F24:G24"/>
    <mergeCell ref="H24:I24"/>
    <mergeCell ref="B25:F25"/>
    <mergeCell ref="B26:C26"/>
    <mergeCell ref="F26:I26"/>
    <mergeCell ref="E27:H27"/>
    <mergeCell ref="B28:I29"/>
    <mergeCell ref="B31:I32"/>
    <mergeCell ref="B33:I34"/>
    <mergeCell ref="A36:D36"/>
    <mergeCell ref="F36:I36"/>
    <mergeCell ref="A37:D37"/>
    <mergeCell ref="F37:I37"/>
    <mergeCell ref="A38:D38"/>
    <mergeCell ref="F38:I38"/>
    <mergeCell ref="E47:G47"/>
    <mergeCell ref="C48:D48"/>
    <mergeCell ref="E48:G48"/>
  </mergeCells>
  <pageMargins left="0.70866141732283472" right="0.70866141732283472" top="0.35433070866141736" bottom="0.74803149606299213" header="0.11811023622047245" footer="0.31496062992125984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9" tint="0.39997558519241921"/>
  </sheetPr>
  <dimension ref="A1:K31"/>
  <sheetViews>
    <sheetView topLeftCell="B1" zoomScaleNormal="100" workbookViewId="0">
      <selection activeCell="B16" sqref="B16:K17"/>
    </sheetView>
  </sheetViews>
  <sheetFormatPr defaultColWidth="8.75" defaultRowHeight="19.5" x14ac:dyDescent="0.3"/>
  <cols>
    <col min="1" max="1" width="6.625" style="18" customWidth="1"/>
    <col min="2" max="2" width="8.75" style="18" customWidth="1"/>
    <col min="3" max="3" width="8.75" style="18"/>
    <col min="4" max="5" width="8.75" style="18" customWidth="1"/>
    <col min="6" max="8" width="8.75" style="18"/>
    <col min="9" max="9" width="5" style="18" customWidth="1"/>
    <col min="10" max="10" width="10.25" style="18" customWidth="1"/>
    <col min="11" max="11" width="6.375" style="18" customWidth="1"/>
    <col min="12" max="16384" width="8.75" style="18"/>
  </cols>
  <sheetData>
    <row r="1" spans="1:11" ht="27.75" x14ac:dyDescent="0.4">
      <c r="B1" s="202" t="s">
        <v>140</v>
      </c>
      <c r="C1" s="202"/>
      <c r="D1" s="202"/>
      <c r="E1" s="202"/>
      <c r="F1" s="202"/>
      <c r="G1" s="202"/>
      <c r="H1" s="202"/>
      <c r="I1" s="202"/>
      <c r="J1" s="202"/>
    </row>
    <row r="2" spans="1:11" x14ac:dyDescent="0.3">
      <c r="A2" s="152" t="s">
        <v>141</v>
      </c>
      <c r="B2" s="152"/>
      <c r="C2" s="152"/>
      <c r="D2" s="152"/>
      <c r="E2" s="152"/>
      <c r="F2" s="152"/>
      <c r="G2" s="152"/>
      <c r="H2" s="152"/>
      <c r="I2" s="152"/>
      <c r="J2" s="152"/>
      <c r="K2" s="152"/>
    </row>
    <row r="3" spans="1:11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</row>
    <row r="4" spans="1:11" ht="25.15" customHeight="1" x14ac:dyDescent="0.3">
      <c r="B4" s="51"/>
      <c r="D4" s="51"/>
      <c r="G4" s="203" t="str">
        <f>"เขียนที่ "&amp;Setting!B4&amp;""</f>
        <v>เขียนที่ โรงเรียนบ้านนอกคอกนา</v>
      </c>
      <c r="H4" s="203"/>
      <c r="I4" s="203"/>
      <c r="J4" s="203"/>
    </row>
    <row r="5" spans="1:11" x14ac:dyDescent="0.3">
      <c r="H5" s="196" t="str">
        <f>"วันที่ "&amp;Setting!B66&amp;" "&amp;Setting!C66&amp;" "&amp;Setting!D66&amp;""</f>
        <v>วันที่ 5 กันยายน 2562</v>
      </c>
      <c r="I5" s="196"/>
      <c r="J5" s="196"/>
      <c r="K5" s="196"/>
    </row>
    <row r="6" spans="1:11" ht="4.9000000000000004" customHeight="1" x14ac:dyDescent="0.3"/>
    <row r="7" spans="1:11" ht="13.9" customHeight="1" x14ac:dyDescent="0.3">
      <c r="B7" s="204" t="str">
        <f>"               ตามที่ "&amp;Setting!B4&amp;" ได้จัด"&amp;Setting!B18&amp;" จาก "&amp;Setting!B40&amp;" ตามใบสั่งซื้อเลขที่ "&amp;Setting!B58&amp;" ลงวันที่ "&amp;Setting!B59&amp;" "&amp;Setting!C59&amp;" "&amp;Setting!D59&amp;" ครบกำหนดส่งมอบวันที่ "&amp;Setting!B23&amp;" "&amp;Setting!C23&amp;" "&amp;Setting!D23&amp;" บัดนี้ผู้ขายทำงานได้ทำงานเสร็จเรียบร้อยแล้ว ตามใบส่งของ/ใบกำกับภาษีเลขที่ "&amp;Setting!B62&amp;" ลงวันที่ "&amp;Setting!B63&amp;" "&amp;Setting!C63&amp;" "&amp;Setting!D63&amp;""</f>
        <v xml:space="preserve">               ตามที่ โรงเรียนบ้านนอกคอกนา ได้จัดวัสดุสำนักงานจำนวน 18 รายการ จาก สิบตรีวีระวัฒน์ สุขทองหลาง ตามใบสั่งซื้อเลขที่ ......./2562 ลงวันที่ 3 กันยายน 2562 ครบกำหนดส่งมอบวันที่ 14 พฤศจิกายน 2562 บัดนี้ผู้ขายทำงานได้ทำงานเสร็จเรียบร้อยแล้ว ตามใบส่งของ/ใบกำกับภาษีเลขที่ ......./2562 ลงวันที่ 5 กันยายน 2562</v>
      </c>
      <c r="C7" s="204"/>
      <c r="D7" s="204"/>
      <c r="E7" s="204"/>
      <c r="F7" s="204"/>
      <c r="G7" s="204"/>
      <c r="H7" s="204"/>
      <c r="I7" s="204"/>
      <c r="J7" s="204"/>
      <c r="K7" s="204"/>
    </row>
    <row r="8" spans="1:11" ht="13.9" customHeight="1" x14ac:dyDescent="0.3">
      <c r="B8" s="204"/>
      <c r="C8" s="204"/>
      <c r="D8" s="204"/>
      <c r="E8" s="204"/>
      <c r="F8" s="204"/>
      <c r="G8" s="204"/>
      <c r="H8" s="204"/>
      <c r="I8" s="204"/>
      <c r="J8" s="204"/>
      <c r="K8" s="204"/>
    </row>
    <row r="9" spans="1:11" ht="13.9" customHeight="1" x14ac:dyDescent="0.3">
      <c r="B9" s="204"/>
      <c r="C9" s="204"/>
      <c r="D9" s="204"/>
      <c r="E9" s="204"/>
      <c r="F9" s="204"/>
      <c r="G9" s="204"/>
      <c r="H9" s="204"/>
      <c r="I9" s="204"/>
      <c r="J9" s="204"/>
      <c r="K9" s="204"/>
    </row>
    <row r="10" spans="1:11" ht="13.9" customHeight="1" x14ac:dyDescent="0.3">
      <c r="B10" s="204"/>
      <c r="C10" s="204"/>
      <c r="D10" s="204"/>
      <c r="E10" s="204"/>
      <c r="F10" s="204"/>
      <c r="G10" s="204"/>
      <c r="H10" s="204"/>
      <c r="I10" s="204"/>
      <c r="J10" s="204"/>
      <c r="K10" s="204"/>
    </row>
    <row r="11" spans="1:11" ht="18" customHeight="1" x14ac:dyDescent="0.3">
      <c r="B11" s="205" t="str">
        <f>"              การจ้างนี้ได้สั่งแก้ไขเปลี่ยนแปลงคือ ................... - ...................."</f>
        <v xml:space="preserve">              การจ้างนี้ได้สั่งแก้ไขเปลี่ยนแปลงคือ ................... - ....................</v>
      </c>
      <c r="C11" s="205"/>
      <c r="D11" s="205"/>
      <c r="E11" s="205"/>
      <c r="F11" s="205"/>
      <c r="G11" s="205"/>
      <c r="H11" s="205"/>
      <c r="I11" s="205"/>
      <c r="J11" s="205"/>
      <c r="K11" s="205"/>
    </row>
    <row r="12" spans="1:11" ht="19.149999999999999" customHeight="1" x14ac:dyDescent="0.3">
      <c r="B12" s="204" t="str">
        <f>"              คณะกรรมการตรวจรับพัสดุได้ตรวจรับงานเมื่อวันที่ "&amp;Setting!B66&amp;" "&amp;Setting!C63&amp;" "&amp;Setting!D63&amp;" แล้วปรากฏว่าเสร็จงานเรียบร้อยถูกต้องตามใบสั่งซื้อ ทุกประการ เมื่อวันที่ "&amp;Setting!B66&amp;" "&amp;Setting!C66&amp;" "&amp;Setting!D66&amp;" โดยส่งมอบเกินกำหนด จำนวน ..... - ...... วัน คิดค่าปรับในอัตราร้อยละ .... - .... รวมเป็นเงินทั้งสิ้น ..... - ..... บาท จึงออกหนังสือสำคัญ ฉบับนี้ให้ไว้ ณ วันที่ "&amp;Setting!B66&amp;" "&amp;Setting!C66&amp;" "&amp;Setting!D66&amp;" ผู้ขายควรได้รับเงินเป็นจำนวนเงินทั้งสิ้น "&amp;TEXT(Setting!B53*Setting!B54,"#,##0")&amp;" บาท ("&amp;BAHTTEXT(Setting!B53*Setting!B54)&amp;") ตามใบสั่งซื้อ"</f>
        <v xml:space="preserve">              คณะกรรมการตรวจรับพัสดุได้ตรวจรับงานเมื่อวันที่ 5 กันยายน 2562 แล้วปรากฏว่าเสร็จงานเรียบร้อยถูกต้องตามใบสั่งซื้อ ทุกประการ เมื่อวันที่ 5 กันยายน 2562 โดยส่งมอบเกินกำหนด จำนวน ..... - ...... วัน คิดค่าปรับในอัตราร้อยละ .... - .... รวมเป็นเงินทั้งสิ้น ..... - ..... บาท จึงออกหนังสือสำคัญ ฉบับนี้ให้ไว้ ณ วันที่ 5 กันยายน 2562 ผู้ขายควรได้รับเงินเป็นจำนวนเงินทั้งสิ้น 2,345 บาท (สองพันสามร้อยสี่สิบห้าบาทถ้วน) ตามใบสั่งซื้อ</v>
      </c>
      <c r="C12" s="204"/>
      <c r="D12" s="204"/>
      <c r="E12" s="204"/>
      <c r="F12" s="204"/>
      <c r="G12" s="204"/>
      <c r="H12" s="204"/>
      <c r="I12" s="204"/>
      <c r="J12" s="204"/>
      <c r="K12" s="204"/>
    </row>
    <row r="13" spans="1:11" ht="19.149999999999999" customHeight="1" x14ac:dyDescent="0.3"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11" ht="19.149999999999999" customHeight="1" x14ac:dyDescent="0.3">
      <c r="B14" s="204"/>
      <c r="C14" s="204"/>
      <c r="D14" s="204"/>
      <c r="E14" s="204"/>
      <c r="F14" s="204"/>
      <c r="G14" s="204"/>
      <c r="H14" s="204"/>
      <c r="I14" s="204"/>
      <c r="J14" s="204"/>
      <c r="K14" s="204"/>
    </row>
    <row r="15" spans="1:11" ht="19.149999999999999" customHeight="1" x14ac:dyDescent="0.3">
      <c r="B15" s="204"/>
      <c r="C15" s="204"/>
      <c r="D15" s="204"/>
      <c r="E15" s="204"/>
      <c r="F15" s="204"/>
      <c r="G15" s="204"/>
      <c r="H15" s="204"/>
      <c r="I15" s="204"/>
      <c r="J15" s="204"/>
      <c r="K15" s="204"/>
    </row>
    <row r="16" spans="1:11" ht="18" customHeight="1" x14ac:dyDescent="0.3">
      <c r="B16" s="138" t="str">
        <f>"               จึงขอเสนอรายงานต่อผู้อำนวยการ"&amp;Setting!B4&amp;" เพื่อโปรดทราบ ตามนัยข้อ 175 (4) แห่งระเบียบกระทรวงการคลังว่าด้วยการจัดซื้อจัดจ้างและการบริหารพัสดุภาครัฐ พ.ศ. 2560"</f>
        <v xml:space="preserve">               จึงขอเสนอรายงานต่อผู้อำนวยการโรงเรียนบ้านนอกคอกนา เพื่อโปรดทราบ ตามนัยข้อ 175 (4) แห่งระเบียบกระทรวงการคลังว่าด้วยการจัดซื้อจัดจ้างและการบริหารพัสดุภาครัฐ พ.ศ. 2560</v>
      </c>
      <c r="C16" s="138"/>
      <c r="D16" s="138"/>
      <c r="E16" s="138"/>
      <c r="F16" s="138"/>
      <c r="G16" s="138"/>
      <c r="H16" s="138"/>
      <c r="I16" s="138"/>
      <c r="J16" s="138"/>
      <c r="K16" s="138"/>
    </row>
    <row r="17" spans="2:11" ht="18" customHeight="1" x14ac:dyDescent="0.3">
      <c r="B17" s="138"/>
      <c r="C17" s="138"/>
      <c r="D17" s="138"/>
      <c r="E17" s="138"/>
      <c r="F17" s="138"/>
      <c r="G17" s="138"/>
      <c r="H17" s="138"/>
      <c r="I17" s="138"/>
      <c r="J17" s="138"/>
      <c r="K17" s="138"/>
    </row>
    <row r="18" spans="2:11" ht="18" customHeight="1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2:11" ht="16.149999999999999" customHeight="1" x14ac:dyDescent="0.3"/>
    <row r="20" spans="2:11" ht="18" customHeight="1" x14ac:dyDescent="0.3">
      <c r="B20" s="137"/>
      <c r="C20" s="137"/>
      <c r="D20" s="137"/>
      <c r="E20" s="137"/>
    </row>
    <row r="21" spans="2:11" ht="18" customHeight="1" x14ac:dyDescent="0.3">
      <c r="B21" s="141"/>
      <c r="C21" s="141"/>
      <c r="D21" s="141"/>
      <c r="E21" s="141"/>
      <c r="G21" s="141" t="s">
        <v>142</v>
      </c>
      <c r="H21" s="141"/>
      <c r="I21" s="141"/>
      <c r="J21" s="141"/>
      <c r="K21" s="141"/>
    </row>
    <row r="22" spans="2:11" ht="18" customHeight="1" x14ac:dyDescent="0.3">
      <c r="B22" s="141"/>
      <c r="C22" s="141"/>
      <c r="D22" s="141"/>
      <c r="E22" s="141"/>
      <c r="G22" s="142" t="str">
        <f>"("&amp;Setting!B26&amp;")"</f>
        <v>(สิบตรีวีระวัฒน์ สุขทองหลาง)</v>
      </c>
      <c r="H22" s="142"/>
      <c r="I22" s="142"/>
      <c r="J22" s="142"/>
      <c r="K22" s="142"/>
    </row>
    <row r="23" spans="2:11" ht="18" customHeight="1" x14ac:dyDescent="0.3">
      <c r="B23" s="200"/>
      <c r="C23" s="142"/>
      <c r="D23" s="142"/>
      <c r="E23" s="142"/>
      <c r="G23" s="201" t="str">
        <f>"วันที่ "&amp;Setting!B66&amp;" "&amp;Setting!C66&amp;" "&amp;Setting!D66&amp;""</f>
        <v>วันที่ 5 กันยายน 2562</v>
      </c>
      <c r="H23" s="201"/>
      <c r="I23" s="201"/>
      <c r="J23" s="201"/>
      <c r="K23" s="201"/>
    </row>
    <row r="24" spans="2:11" ht="16.149999999999999" customHeight="1" x14ac:dyDescent="0.3"/>
    <row r="25" spans="2:11" ht="16.149999999999999" customHeight="1" x14ac:dyDescent="0.3">
      <c r="G25" s="141" t="s">
        <v>143</v>
      </c>
      <c r="H25" s="141"/>
      <c r="I25" s="141"/>
      <c r="J25" s="141"/>
      <c r="K25" s="141"/>
    </row>
    <row r="26" spans="2:11" x14ac:dyDescent="0.3">
      <c r="G26" s="142" t="str">
        <f>"("&amp;Setting!B27&amp;")"</f>
        <v>(นายฉัตรชัย สงทามะดัน)</v>
      </c>
      <c r="H26" s="142"/>
      <c r="I26" s="142"/>
      <c r="J26" s="142"/>
      <c r="K26" s="142"/>
    </row>
    <row r="27" spans="2:11" x14ac:dyDescent="0.3">
      <c r="G27" s="201" t="str">
        <f>"วันที่ "&amp;Setting!B66&amp;" "&amp;Setting!C66&amp;" "&amp;Setting!D66&amp;""</f>
        <v>วันที่ 5 กันยายน 2562</v>
      </c>
      <c r="H27" s="201"/>
      <c r="I27" s="201"/>
      <c r="J27" s="201"/>
      <c r="K27" s="201"/>
    </row>
    <row r="29" spans="2:11" x14ac:dyDescent="0.3">
      <c r="G29" s="141" t="s">
        <v>143</v>
      </c>
      <c r="H29" s="141"/>
      <c r="I29" s="141"/>
      <c r="J29" s="141"/>
      <c r="K29" s="141"/>
    </row>
    <row r="30" spans="2:11" x14ac:dyDescent="0.3">
      <c r="G30" s="142" t="str">
        <f>"("&amp;Setting!B28&amp;")"</f>
        <v>(นางสาวนวลพรรณ กลั่นหมอ)</v>
      </c>
      <c r="H30" s="142"/>
      <c r="I30" s="142"/>
      <c r="J30" s="142"/>
      <c r="K30" s="142"/>
    </row>
    <row r="31" spans="2:11" x14ac:dyDescent="0.3">
      <c r="G31" s="201" t="str">
        <f>"วันที่ "&amp;Setting!B66&amp;" "&amp;Setting!C66&amp;" "&amp;Setting!D66&amp;""</f>
        <v>วันที่ 5 กันยายน 2562</v>
      </c>
      <c r="H31" s="201"/>
      <c r="I31" s="201"/>
      <c r="J31" s="201"/>
      <c r="K31" s="201"/>
    </row>
  </sheetData>
  <sheetProtection algorithmName="SHA-512" hashValue="bdpR637ctBOXlJ19Jjw0I8hnolP+9Ufs4awYHvjS/uzju1wkNxxlTVy9VjsN5UJtD6yoZ2K75UIjTUTOVUnA/w==" saltValue="eqxvjgmezW8+e61gY9RMnw==" spinCount="100000" sheet="1" objects="1" scenarios="1"/>
  <mergeCells count="21">
    <mergeCell ref="B22:E22"/>
    <mergeCell ref="B1:J1"/>
    <mergeCell ref="A2:K2"/>
    <mergeCell ref="G4:J4"/>
    <mergeCell ref="H5:K5"/>
    <mergeCell ref="B7:K10"/>
    <mergeCell ref="B11:K11"/>
    <mergeCell ref="B12:K15"/>
    <mergeCell ref="B16:K17"/>
    <mergeCell ref="B20:E20"/>
    <mergeCell ref="B21:E21"/>
    <mergeCell ref="G21:K21"/>
    <mergeCell ref="G22:K22"/>
    <mergeCell ref="B23:E23"/>
    <mergeCell ref="G25:K25"/>
    <mergeCell ref="G29:K29"/>
    <mergeCell ref="G30:K30"/>
    <mergeCell ref="G31:K31"/>
    <mergeCell ref="G27:K27"/>
    <mergeCell ref="G26:K26"/>
    <mergeCell ref="G23:K23"/>
  </mergeCells>
  <pageMargins left="0.25" right="0.25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7"/>
  </sheetPr>
  <dimension ref="B1:L36"/>
  <sheetViews>
    <sheetView tabSelected="1" topLeftCell="B1" zoomScaleNormal="100" workbookViewId="0">
      <selection activeCell="R18" sqref="R18"/>
    </sheetView>
  </sheetViews>
  <sheetFormatPr defaultColWidth="9" defaultRowHeight="19.5" x14ac:dyDescent="0.3"/>
  <cols>
    <col min="1" max="1" width="6.5" style="18" customWidth="1"/>
    <col min="2" max="2" width="5.375" style="18" customWidth="1"/>
    <col min="3" max="3" width="9" style="18"/>
    <col min="4" max="4" width="3.5" style="18" customWidth="1"/>
    <col min="5" max="10" width="9" style="18"/>
    <col min="11" max="11" width="8.5" style="18" customWidth="1"/>
    <col min="12" max="12" width="9" style="18" hidden="1" customWidth="1"/>
    <col min="13" max="16384" width="9" style="18"/>
  </cols>
  <sheetData>
    <row r="1" spans="2:12" x14ac:dyDescent="0.3">
      <c r="E1" s="130" t="s">
        <v>48</v>
      </c>
      <c r="F1" s="130"/>
      <c r="G1" s="130"/>
      <c r="H1" s="130"/>
      <c r="I1" s="130"/>
    </row>
    <row r="2" spans="2:12" x14ac:dyDescent="0.3">
      <c r="E2" s="130"/>
      <c r="F2" s="130"/>
      <c r="G2" s="130"/>
      <c r="H2" s="130"/>
      <c r="I2" s="130"/>
    </row>
    <row r="3" spans="2:12" ht="24.95" customHeight="1" x14ac:dyDescent="0.3">
      <c r="B3" s="19" t="s">
        <v>49</v>
      </c>
      <c r="D3" s="18" t="str">
        <f>Setting!B4</f>
        <v>โรงเรียนบ้านนอกคอกนา</v>
      </c>
      <c r="G3" s="19" t="s">
        <v>30</v>
      </c>
      <c r="H3" s="18" t="str">
        <f>Setting!B6</f>
        <v>สพป.นครราชสีมา เขต 2</v>
      </c>
      <c r="K3" s="47"/>
      <c r="L3" s="47"/>
    </row>
    <row r="4" spans="2:12" x14ac:dyDescent="0.3">
      <c r="B4" s="19" t="s">
        <v>21</v>
      </c>
      <c r="C4" s="132" t="str">
        <f>Setting!B69</f>
        <v>......./2562</v>
      </c>
      <c r="D4" s="132"/>
      <c r="E4" s="132"/>
      <c r="F4" s="22"/>
      <c r="G4" s="27" t="s">
        <v>0</v>
      </c>
      <c r="H4" s="133" t="str">
        <f>""&amp;Setting!B70&amp;" "&amp;Setting!C70&amp;" "&amp;Setting!D70&amp;""</f>
        <v>9 กันยายน 2562</v>
      </c>
      <c r="I4" s="133"/>
      <c r="J4" s="133"/>
    </row>
    <row r="5" spans="2:12" ht="20.100000000000001" customHeight="1" x14ac:dyDescent="0.3">
      <c r="B5" s="19" t="s">
        <v>50</v>
      </c>
      <c r="C5" s="134" t="s">
        <v>147</v>
      </c>
      <c r="D5" s="134"/>
      <c r="E5" s="134"/>
      <c r="F5" s="134"/>
      <c r="G5" s="134"/>
      <c r="H5" s="134"/>
      <c r="I5" s="134"/>
      <c r="J5" s="134"/>
    </row>
    <row r="6" spans="2:12" s="23" customFormat="1" ht="12.95" customHeight="1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</row>
    <row r="7" spans="2:12" x14ac:dyDescent="0.3">
      <c r="B7" s="19" t="s">
        <v>51</v>
      </c>
      <c r="C7" s="129" t="str">
        <f>"ผู้อำนวยการ"&amp;Setting!B4&amp;""</f>
        <v>ผู้อำนวยการโรงเรียนบ้านนอกคอกนา</v>
      </c>
      <c r="D7" s="129"/>
      <c r="E7" s="129"/>
      <c r="F7" s="129"/>
      <c r="G7" s="129"/>
      <c r="H7" s="129"/>
      <c r="I7" s="129"/>
      <c r="J7" s="129"/>
      <c r="K7" s="129"/>
    </row>
    <row r="8" spans="2:12" ht="18.399999999999999" customHeight="1" x14ac:dyDescent="0.3">
      <c r="B8" s="138" t="str">
        <f>"           ตามที่ "&amp;Setting!B4&amp;" ได้จัดซื้อตามใบสั่งซื้อโดยมี "&amp;Setting!B40&amp;" เป็นผู้ขาย "&amp;Setting!B18&amp;" ตามใบสั่งซื้อเลขที่ "&amp;Setting!B58&amp;" ลงวันที่ "&amp;Setting!B59&amp;" "&amp;Setting!C59&amp;" "&amp;Setting!D59&amp;" กำหนดทำงาน แล้วเสร็จภายในวันที่ "&amp;Setting!B23&amp;" "&amp;Setting!C23&amp;" "&amp;Setting!D23&amp;" รวมเป็นเงิน "&amp;TEXT(Setting!B53*Setting!B54,"#,##0")&amp;" ("&amp;BAHTTEXT(Setting!B53*Setting!B54)&amp;") นั้น"</f>
        <v xml:space="preserve">           ตามที่ โรงเรียนบ้านนอกคอกนา ได้จัดซื้อตามใบสั่งซื้อโดยมี สิบตรีวีระวัฒน์ สุขทองหลาง เป็นผู้ขาย วัสดุสำนักงานจำนวน 18 รายการ ตามใบสั่งซื้อเลขที่ ......./2562 ลงวันที่ 3 กันยายน 2562 กำหนดทำงาน แล้วเสร็จภายในวันที่ 14 พฤศจิกายน 2562 รวมเป็นเงิน 2,345 (สองพันสามร้อยสี่สิบห้าบาทถ้วน) นั้น</v>
      </c>
      <c r="C8" s="138"/>
      <c r="D8" s="138"/>
      <c r="E8" s="138"/>
      <c r="F8" s="138"/>
      <c r="G8" s="138"/>
      <c r="H8" s="138"/>
      <c r="I8" s="138"/>
      <c r="J8" s="138"/>
      <c r="K8" s="138"/>
      <c r="L8" s="50"/>
    </row>
    <row r="9" spans="2:12" ht="18.399999999999999" customHeight="1" x14ac:dyDescent="0.3"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50"/>
    </row>
    <row r="10" spans="2:12" ht="18.399999999999999" customHeight="1" x14ac:dyDescent="0.3"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50"/>
    </row>
    <row r="11" spans="2:12" ht="18.95" customHeight="1" x14ac:dyDescent="0.3">
      <c r="B11" s="138" t="str">
        <f>"           บัดนี้ผู้ขายได้ส่งมอบพัสดุถูกต้องเรียบร้อยแล้ว ตามใบส่งของ/ใบกำกับภาษีเลขที่ "&amp;Setting!B62&amp;" ลงวันที่ "&amp;Setting!B63&amp;" "&amp;Setting!C63&amp;" "&amp;Setting!D63&amp;" และคณะกรรมการตรวจรับพัสดุได้ทำการตรวจรับพัสดุเมื่อวันที่ "&amp;Setting!B66&amp;" "&amp;Setting!C66&amp;" "&amp;Setting!D66&amp;" ไว้เป็นการถูกต้องครบถ้วนดังหลักฐานที่แนบ "</f>
        <v xml:space="preserve">           บัดนี้ผู้ขายได้ส่งมอบพัสดุถูกต้องเรียบร้อยแล้ว ตามใบส่งของ/ใบกำกับภาษีเลขที่ ......./2562 ลงวันที่ 5 กันยายน 2562 และคณะกรรมการตรวจรับพัสดุได้ทำการตรวจรับพัสดุเมื่อวันที่ 5 กันยายน 2562 ไว้เป็นการถูกต้องครบถ้วนดังหลักฐานที่แนบ </v>
      </c>
      <c r="C11" s="138"/>
      <c r="D11" s="138"/>
      <c r="E11" s="138"/>
      <c r="F11" s="138"/>
      <c r="G11" s="138"/>
      <c r="H11" s="138"/>
      <c r="I11" s="138"/>
      <c r="J11" s="138"/>
      <c r="K11" s="138"/>
      <c r="L11" s="50"/>
    </row>
    <row r="12" spans="2:12" ht="18.95" customHeight="1" x14ac:dyDescent="0.3"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50"/>
    </row>
    <row r="13" spans="2:12" ht="18.95" customHeight="1" x14ac:dyDescent="0.3"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50"/>
    </row>
    <row r="14" spans="2:12" ht="19.899999999999999" customHeight="1" x14ac:dyDescent="0.3">
      <c r="C14" s="206" t="s">
        <v>148</v>
      </c>
      <c r="D14" s="206"/>
      <c r="E14" s="206"/>
      <c r="F14" s="206"/>
      <c r="G14" s="206"/>
      <c r="H14" s="206"/>
      <c r="I14" s="206"/>
      <c r="J14" s="206"/>
      <c r="K14" s="206"/>
      <c r="L14" s="50"/>
    </row>
    <row r="15" spans="2:12" ht="18" customHeight="1" x14ac:dyDescent="0.3">
      <c r="B15" s="138" t="str">
        <f>"           1. ทราบผลการตรวจรับงานตามนัยข้อ 175 (4) แห่งระเบียบกระทรวงการคลังว่าด้วยการจัดซื้อจัดจ้างและการบริหารพัสดุภาครัฐ พ.ศ. 2560"</f>
        <v xml:space="preserve">           1. ทราบผลการตรวจรับงานตามนัยข้อ 175 (4) แห่งระเบียบกระทรวงการคลังว่าด้วยการจัดซื้อจัดจ้างและการบริหารพัสดุภาครัฐ พ.ศ. 2560</v>
      </c>
      <c r="C15" s="138"/>
      <c r="D15" s="138"/>
      <c r="E15" s="138"/>
      <c r="F15" s="138"/>
      <c r="G15" s="138"/>
      <c r="H15" s="138"/>
      <c r="I15" s="138"/>
      <c r="J15" s="138"/>
      <c r="K15" s="138"/>
    </row>
    <row r="16" spans="2:12" ht="18" customHeight="1" x14ac:dyDescent="0.3">
      <c r="B16" s="138"/>
      <c r="C16" s="138"/>
      <c r="D16" s="138"/>
      <c r="E16" s="138"/>
      <c r="F16" s="138"/>
      <c r="G16" s="138"/>
      <c r="H16" s="138"/>
      <c r="I16" s="138"/>
      <c r="J16" s="138"/>
      <c r="K16" s="138"/>
    </row>
    <row r="17" spans="2:11" ht="18" customHeight="1" x14ac:dyDescent="0.3">
      <c r="B17" s="138" t="str">
        <f>"           2. อนุมัติจ่ายเงินให้แก่ .................. "&amp;Setting!B40&amp;" ................... เป็นเงิน ........... "&amp;TEXT(Setting!B53*Setting!B54,"#,##0")&amp;"............ บาท 
("&amp;BAHTTEXT(Setting!B53*Setting!B54)&amp;") รายละเอียดดังนี้"</f>
        <v xml:space="preserve">           2. อนุมัติจ่ายเงินให้แก่ .................. สิบตรีวีระวัฒน์ สุขทองหลาง ................... เป็นเงิน ........... 2,345............ บาท 
(สองพันสามร้อยสี่สิบห้าบาทถ้วน) รายละเอียดดังนี้</v>
      </c>
      <c r="C17" s="138"/>
      <c r="D17" s="138"/>
      <c r="E17" s="138"/>
      <c r="F17" s="138"/>
      <c r="G17" s="138"/>
      <c r="H17" s="138"/>
      <c r="I17" s="138"/>
      <c r="J17" s="138"/>
      <c r="K17" s="138"/>
    </row>
    <row r="18" spans="2:11" ht="18" customHeight="1" x14ac:dyDescent="0.3">
      <c r="B18" s="138"/>
      <c r="C18" s="138"/>
      <c r="D18" s="138"/>
      <c r="E18" s="138"/>
      <c r="F18" s="138"/>
      <c r="G18" s="138"/>
      <c r="H18" s="138"/>
      <c r="I18" s="138"/>
      <c r="J18" s="138"/>
      <c r="K18" s="138"/>
    </row>
    <row r="19" spans="2:11" x14ac:dyDescent="0.3">
      <c r="C19" s="134" t="s">
        <v>149</v>
      </c>
      <c r="D19" s="134"/>
      <c r="E19" s="134"/>
      <c r="F19" s="134" t="str">
        <f>"............... "&amp;TEXT(Setting!B53*Setting!B54,"#,##0")&amp;" ............... บาท"</f>
        <v>............... 2,345 ............... บาท</v>
      </c>
      <c r="G19" s="134"/>
      <c r="H19" s="134"/>
      <c r="I19" s="134"/>
      <c r="J19" s="134"/>
      <c r="K19" s="134"/>
    </row>
    <row r="20" spans="2:11" x14ac:dyDescent="0.3">
      <c r="C20" s="134" t="s">
        <v>150</v>
      </c>
      <c r="D20" s="134"/>
      <c r="E20" s="134"/>
      <c r="F20" s="137" t="str">
        <f>".................... - ....................... บาท"</f>
        <v>.................... - ....................... บาท</v>
      </c>
      <c r="G20" s="137"/>
      <c r="H20" s="137"/>
      <c r="I20" s="137"/>
      <c r="J20" s="137"/>
      <c r="K20" s="137"/>
    </row>
    <row r="21" spans="2:11" x14ac:dyDescent="0.3">
      <c r="C21" s="137" t="s">
        <v>151</v>
      </c>
      <c r="D21" s="137"/>
      <c r="E21" s="137"/>
      <c r="F21" s="134" t="str">
        <f>"............... "&amp;TEXT(Setting!B53*Setting!B54,"#,##0")&amp;" ............... บาท"</f>
        <v>............... 2,345 ............... บาท</v>
      </c>
      <c r="G21" s="134"/>
      <c r="H21" s="134"/>
      <c r="I21" s="134"/>
      <c r="J21" s="134"/>
      <c r="K21" s="134"/>
    </row>
    <row r="22" spans="2:11" x14ac:dyDescent="0.3">
      <c r="C22" s="19" t="s">
        <v>152</v>
      </c>
      <c r="D22" s="134" t="s">
        <v>153</v>
      </c>
      <c r="E22" s="134"/>
      <c r="F22" s="137" t="str">
        <f>".................... - ....................... บาท"</f>
        <v>.................... - ....................... บาท</v>
      </c>
      <c r="G22" s="137"/>
      <c r="H22" s="137"/>
      <c r="I22" s="137"/>
      <c r="J22" s="137"/>
      <c r="K22" s="137"/>
    </row>
    <row r="23" spans="2:11" x14ac:dyDescent="0.3">
      <c r="C23" s="18" t="s">
        <v>154</v>
      </c>
      <c r="F23" s="137" t="str">
        <f>".................... - ....................... บาท"</f>
        <v>.................... - ....................... บาท</v>
      </c>
      <c r="G23" s="137"/>
      <c r="H23" s="137"/>
      <c r="I23" s="137"/>
      <c r="J23" s="137"/>
      <c r="K23" s="137"/>
    </row>
    <row r="24" spans="2:11" x14ac:dyDescent="0.3">
      <c r="C24" s="137" t="str">
        <f>"คงเหลือจ่ายจริง เป็นเงิน ....... "&amp;TEXT(Setting!B53*Setting!B54,"#,##0")&amp;" ....... บาท ("&amp;BAHTTEXT(Setting!B53*Setting!B54)&amp;")"</f>
        <v>คงเหลือจ่ายจริง เป็นเงิน ....... 2,345 ....... บาท (สองพันสามร้อยสี่สิบห้าบาทถ้วน)</v>
      </c>
      <c r="D24" s="137"/>
      <c r="E24" s="137"/>
      <c r="F24" s="137"/>
      <c r="G24" s="137"/>
      <c r="H24" s="137"/>
      <c r="I24" s="137"/>
      <c r="J24" s="137"/>
      <c r="K24" s="137"/>
    </row>
    <row r="26" spans="2:11" x14ac:dyDescent="0.3">
      <c r="C26" s="141" t="s">
        <v>155</v>
      </c>
      <c r="D26" s="141"/>
      <c r="E26" s="141"/>
      <c r="F26" s="141"/>
      <c r="G26" s="141"/>
      <c r="H26" s="47"/>
      <c r="I26" s="47"/>
      <c r="J26" s="47"/>
    </row>
    <row r="27" spans="2:11" x14ac:dyDescent="0.3">
      <c r="C27" s="141" t="str">
        <f>"("&amp;Setting!B10&amp;")"</f>
        <v>(นางสาวนวลพรรณ กลั่นหมอ)</v>
      </c>
      <c r="D27" s="141"/>
      <c r="E27" s="141"/>
      <c r="F27" s="141"/>
      <c r="G27" s="141"/>
      <c r="H27" s="47"/>
      <c r="I27" s="47"/>
      <c r="J27" s="47"/>
    </row>
    <row r="28" spans="2:11" x14ac:dyDescent="0.3">
      <c r="C28" s="141" t="str">
        <f>""&amp;Setting!B70&amp;" "&amp;Setting!C70&amp;" "&amp;Setting!D70&amp;""</f>
        <v>9 กันยายน 2562</v>
      </c>
      <c r="D28" s="141"/>
      <c r="E28" s="141"/>
      <c r="F28" s="141"/>
      <c r="G28" s="141"/>
      <c r="H28" s="47"/>
      <c r="I28" s="47"/>
      <c r="J28" s="47"/>
    </row>
    <row r="30" spans="2:11" x14ac:dyDescent="0.3">
      <c r="F30" s="32" t="s">
        <v>156</v>
      </c>
    </row>
    <row r="31" spans="2:11" x14ac:dyDescent="0.3">
      <c r="F31" s="32" t="s">
        <v>61</v>
      </c>
    </row>
    <row r="33" spans="6:10" x14ac:dyDescent="0.3">
      <c r="F33" s="141" t="s">
        <v>157</v>
      </c>
      <c r="G33" s="141"/>
      <c r="H33" s="141"/>
      <c r="I33" s="141"/>
      <c r="J33" s="141"/>
    </row>
    <row r="34" spans="6:10" x14ac:dyDescent="0.3">
      <c r="F34" s="142" t="str">
        <f>" ( "&amp;Setting!B11&amp;" )"</f>
        <v xml:space="preserve"> ( นายสมเด็จ ภิญโญยาง )</v>
      </c>
      <c r="G34" s="142"/>
      <c r="H34" s="142"/>
      <c r="I34" s="142"/>
      <c r="J34" s="142"/>
    </row>
    <row r="35" spans="6:10" x14ac:dyDescent="0.3">
      <c r="F35" s="141" t="str">
        <f>"ตำแหน่ง ผู้อำนวยการ"&amp;Setting!B4&amp;""</f>
        <v>ตำแหน่ง ผู้อำนวยการโรงเรียนบ้านนอกคอกนา</v>
      </c>
      <c r="G35" s="141"/>
      <c r="H35" s="141"/>
      <c r="I35" s="141"/>
      <c r="J35" s="141"/>
    </row>
    <row r="36" spans="6:10" x14ac:dyDescent="0.3">
      <c r="F36" s="140" t="str">
        <f>""&amp;Setting!B70&amp;" "&amp;Setting!C70&amp;" "&amp;Setting!D70&amp;""</f>
        <v>9 กันยายน 2562</v>
      </c>
      <c r="G36" s="140"/>
      <c r="H36" s="140"/>
      <c r="I36" s="140"/>
      <c r="J36" s="140"/>
    </row>
  </sheetData>
  <sheetProtection algorithmName="SHA-512" hashValue="6CYimhrteWX2w/VVMm4wON+dZ+eSYzDycNtaGrfp7bSp0RhNwEV8zff0tjl7Pexsc3YkxxJGE7C//qScJ5w+3w==" saltValue="Bm6Y2T1HkodKL5X9xt8Hjg==" spinCount="100000" sheet="1" objects="1" scenarios="1"/>
  <mergeCells count="28">
    <mergeCell ref="C19:E19"/>
    <mergeCell ref="F19:K19"/>
    <mergeCell ref="E1:I2"/>
    <mergeCell ref="C4:E4"/>
    <mergeCell ref="H4:J4"/>
    <mergeCell ref="C5:J5"/>
    <mergeCell ref="B6:L6"/>
    <mergeCell ref="C7:K7"/>
    <mergeCell ref="B8:K10"/>
    <mergeCell ref="B11:K13"/>
    <mergeCell ref="C14:K14"/>
    <mergeCell ref="B15:K16"/>
    <mergeCell ref="B17:K18"/>
    <mergeCell ref="C20:E20"/>
    <mergeCell ref="F20:K20"/>
    <mergeCell ref="C21:E21"/>
    <mergeCell ref="F21:K21"/>
    <mergeCell ref="D22:E22"/>
    <mergeCell ref="F22:K22"/>
    <mergeCell ref="F34:J34"/>
    <mergeCell ref="F35:J35"/>
    <mergeCell ref="F36:J36"/>
    <mergeCell ref="F23:K23"/>
    <mergeCell ref="C24:K24"/>
    <mergeCell ref="C26:G26"/>
    <mergeCell ref="C27:G27"/>
    <mergeCell ref="C28:G28"/>
    <mergeCell ref="F33:J33"/>
  </mergeCells>
  <pageMargins left="0.23622047244094491" right="0.23622047244094491" top="0.35433070866141736" bottom="0.74803149606299213" header="0.31496062992125984" footer="0.31496062992125984"/>
  <pageSetup paperSize="9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12</vt:i4>
      </vt:variant>
      <vt:variant>
        <vt:lpstr>ช่วงที่มีชื่อ</vt:lpstr>
      </vt:variant>
      <vt:variant>
        <vt:i4>7</vt:i4>
      </vt:variant>
    </vt:vector>
  </HeadingPairs>
  <TitlesOfParts>
    <vt:vector size="19" baseType="lpstr">
      <vt:lpstr>Data</vt:lpstr>
      <vt:lpstr>Worklist</vt:lpstr>
      <vt:lpstr>Contractor</vt:lpstr>
      <vt:lpstr>Setting</vt:lpstr>
      <vt:lpstr>Page1</vt:lpstr>
      <vt:lpstr>Page2</vt:lpstr>
      <vt:lpstr>Page3</vt:lpstr>
      <vt:lpstr>Page4</vt:lpstr>
      <vt:lpstr>Page5</vt:lpstr>
      <vt:lpstr>Page6</vt:lpstr>
      <vt:lpstr>Page7</vt:lpstr>
      <vt:lpstr>Page8</vt:lpstr>
      <vt:lpstr>Page1!Print_Area</vt:lpstr>
      <vt:lpstr>Page2!Print_Area</vt:lpstr>
      <vt:lpstr>Page4!Print_Area</vt:lpstr>
      <vt:lpstr>Page5!Print_Area</vt:lpstr>
      <vt:lpstr>Page6!Print_Area</vt:lpstr>
      <vt:lpstr>Page7!Print_Area</vt:lpstr>
      <vt:lpstr>Page8!Print_Area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YOKKHAM1</dc:creator>
  <cp:lastModifiedBy>Weerawat Suktonglang</cp:lastModifiedBy>
  <cp:lastPrinted>2024-09-30T06:02:50Z</cp:lastPrinted>
  <dcterms:created xsi:type="dcterms:W3CDTF">2019-09-02T09:47:58Z</dcterms:created>
  <dcterms:modified xsi:type="dcterms:W3CDTF">2024-09-30T06:18:47Z</dcterms:modified>
</cp:coreProperties>
</file>